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880" tabRatio="846" firstSheet="3" activeTab="5"/>
  </bookViews>
  <sheets>
    <sheet name="结果对比" sheetId="22" r:id="rId1"/>
    <sheet name="DCF" sheetId="2" r:id="rId2"/>
    <sheet name="市场法" sheetId="23" r:id="rId3"/>
    <sheet name="二级可比 相对估值" sheetId="1" r:id="rId4"/>
    <sheet name="二级可比公司三费费率估算 " sheetId="11" r:id="rId5"/>
    <sheet name="可比公司毛利" sheetId="20" r:id="rId6"/>
    <sheet name="可比公司营运情况" sheetId="21" r:id="rId7"/>
    <sheet name="锐洁利润表" sheetId="24" r:id="rId8"/>
  </sheets>
  <definedNames>
    <definedName name="\0">#REF!</definedName>
    <definedName name="\b">#N/A</definedName>
    <definedName name="\C">#REF!</definedName>
    <definedName name="\D" localSheetId="0">#REF!</definedName>
    <definedName name="\D" localSheetId="2">#REF!</definedName>
    <definedName name="\D">#REF!</definedName>
    <definedName name="\E">#REF!</definedName>
    <definedName name="\gtuu" localSheetId="0" hidden="1">{#N/A,#N/A,FALSE,"TAXC.INDEX";#N/A,#N/A,FALSE,"Schedule I";#N/A,#N/A,FALSE,"Schedule  II";#N/A,#N/A,FALSE,"Schedule III"}</definedName>
    <definedName name="\gtuu" hidden="1">{#N/A,#N/A,FALSE,"TAXC.INDEX";#N/A,#N/A,FALSE,"Schedule I";#N/A,#N/A,FALSE,"Schedule  II";#N/A,#N/A,FALSE,"Schedule III"}</definedName>
    <definedName name="_??" localSheetId="0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??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????" localSheetId="0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2" localSheetId="0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2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8" localSheetId="0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??8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1???" localSheetId="0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1???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2" localSheetId="0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2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6" localSheetId="0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6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?e" hidden="1">{#N/A,#N/A,FALSE,"Report";#N/A,#N/A,FALSE,"Credit Debit Notes";#N/A,#N/A,FALSE,"Explanations";#N/A,#N/A,FALSE,"Summary";#N/A,#N/A,FALSE,"Budget";#N/A,#N/A,FALSE,"Actua"}</definedName>
    <definedName name="________________________wrn1" localSheetId="0" hidden="1">{"Annual",#N/A,FALSE,"Sales &amp; Market";"Quarterly",#N/A,FALSE,"Sales &amp; Market"}</definedName>
    <definedName name="________________________wrn1" hidden="1">{"Annual",#N/A,FALSE,"Sales &amp; Market";"Quarterly",#N/A,FALSE,"Sales &amp; Market"}</definedName>
    <definedName name="________________________wrn2" localSheetId="0" hidden="1">{"client cfbs",#N/A,FALSE,"Client"}</definedName>
    <definedName name="________________________wrn2" hidden="1">{"client cfbs",#N/A,FALSE,"Client"}</definedName>
    <definedName name="________________________wrn3" localSheetId="0" hidden="1">{"client is",#N/A,FALSE,"Client"}</definedName>
    <definedName name="________________________wrn3" hidden="1">{"client is",#N/A,FALSE,"Client"}</definedName>
    <definedName name="________________________wrn4" localSheetId="0" hidden="1">{"client stats",#N/A,FALSE,"Client"}</definedName>
    <definedName name="________________________wrn4" hidden="1">{"client stats",#N/A,FALSE,"Client"}</definedName>
    <definedName name="________________________wrn5" localSheetId="0" hidden="1">{"internal is",#N/A,FALSE,"Model"}</definedName>
    <definedName name="________________________wrn5" hidden="1">{"internal is",#N/A,FALSE,"Model"}</definedName>
    <definedName name="________________________wrn6" localSheetId="0" hidden="1">{"portrait letter is",#N/A,FALSE,"Model"}</definedName>
    <definedName name="________________________wrn6" hidden="1">{"portrait letter is",#N/A,FALSE,"Model"}</definedName>
    <definedName name="________________________wrn7" localSheetId="0" hidden="1">{#N/A,#N/A,FALSE,"Financial";#N/A,#N/A,FALSE,"Balance Sheet";#N/A,#N/A,FALSE,"Income stmt";#N/A,#N/A,FALSE,"Ratio"}</definedName>
    <definedName name="________________________wrn7" hidden="1">{#N/A,#N/A,FALSE,"Financial";#N/A,#N/A,FALSE,"Balance Sheet";#N/A,#N/A,FALSE,"Income stmt";#N/A,#N/A,FALSE,"Ratio"}</definedName>
    <definedName name="______________________wrn1" localSheetId="0" hidden="1">{"Annual",#N/A,FALSE,"Sales &amp; Market";"Quarterly",#N/A,FALSE,"Sales &amp; Market"}</definedName>
    <definedName name="______________________wrn1" hidden="1">{"Annual",#N/A,FALSE,"Sales &amp; Market";"Quarterly",#N/A,FALSE,"Sales &amp; Market"}</definedName>
    <definedName name="______________________wrn2" localSheetId="0" hidden="1">{"client cfbs",#N/A,FALSE,"Client"}</definedName>
    <definedName name="______________________wrn2" hidden="1">{"client cfbs",#N/A,FALSE,"Client"}</definedName>
    <definedName name="______________________wrn3" localSheetId="0" hidden="1">{"client is",#N/A,FALSE,"Client"}</definedName>
    <definedName name="______________________wrn3" hidden="1">{"client is",#N/A,FALSE,"Client"}</definedName>
    <definedName name="______________________wrn4" localSheetId="0" hidden="1">{"client stats",#N/A,FALSE,"Client"}</definedName>
    <definedName name="______________________wrn4" hidden="1">{"client stats",#N/A,FALSE,"Client"}</definedName>
    <definedName name="______________________wrn5" localSheetId="0" hidden="1">{"internal is",#N/A,FALSE,"Model"}</definedName>
    <definedName name="______________________wrn5" hidden="1">{"internal is",#N/A,FALSE,"Model"}</definedName>
    <definedName name="______________________wrn6" localSheetId="0" hidden="1">{"portrait letter is",#N/A,FALSE,"Model"}</definedName>
    <definedName name="______________________wrn6" hidden="1">{"portrait letter is",#N/A,FALSE,"Model"}</definedName>
    <definedName name="______________________wrn7" localSheetId="0" hidden="1">{#N/A,#N/A,FALSE,"Financial";#N/A,#N/A,FALSE,"Balance Sheet";#N/A,#N/A,FALSE,"Income stmt";#N/A,#N/A,FALSE,"Ratio"}</definedName>
    <definedName name="______________________wrn7" hidden="1">{#N/A,#N/A,FALSE,"Financial";#N/A,#N/A,FALSE,"Balance Sheet";#N/A,#N/A,FALSE,"Income stmt";#N/A,#N/A,FALSE,"Ratio"}</definedName>
    <definedName name="_____________________T123456" localSheetId="0" hidden="1">{"COUNT",#N/A,FALSE,"AB"}</definedName>
    <definedName name="_____________________T123456" hidden="1">{"COUNT",#N/A,FALSE,"AB"}</definedName>
    <definedName name="_____________________T12347" localSheetId="0" hidden="1">{"COUNT",#N/A,FALSE,"AB"}</definedName>
    <definedName name="_____________________T12347" hidden="1">{"COUNT",#N/A,FALSE,"AB"}</definedName>
    <definedName name="_____________________wrn1" localSheetId="0" hidden="1">{"Annual",#N/A,FALSE,"Sales &amp; Market";"Quarterly",#N/A,FALSE,"Sales &amp; Market"}</definedName>
    <definedName name="_____________________wrn1" hidden="1">{"Annual",#N/A,FALSE,"Sales &amp; Market";"Quarterly",#N/A,FALSE,"Sales &amp; Market"}</definedName>
    <definedName name="_____________________wrn2" localSheetId="0" hidden="1">{"client cfbs",#N/A,FALSE,"Client"}</definedName>
    <definedName name="_____________________wrn2" hidden="1">{"client cfbs",#N/A,FALSE,"Client"}</definedName>
    <definedName name="_____________________wrn3" localSheetId="0" hidden="1">{"client is",#N/A,FALSE,"Client"}</definedName>
    <definedName name="_____________________wrn3" hidden="1">{"client is",#N/A,FALSE,"Client"}</definedName>
    <definedName name="_____________________wrn4" localSheetId="0" hidden="1">{"client stats",#N/A,FALSE,"Client"}</definedName>
    <definedName name="_____________________wrn4" hidden="1">{"client stats",#N/A,FALSE,"Client"}</definedName>
    <definedName name="_____________________wrn5" localSheetId="0" hidden="1">{"internal is",#N/A,FALSE,"Model"}</definedName>
    <definedName name="_____________________wrn5" hidden="1">{"internal is",#N/A,FALSE,"Model"}</definedName>
    <definedName name="_____________________wrn6" localSheetId="0" hidden="1">{"portrait letter is",#N/A,FALSE,"Model"}</definedName>
    <definedName name="_____________________wrn6" hidden="1">{"portrait letter is",#N/A,FALSE,"Model"}</definedName>
    <definedName name="_____________________wrn7" localSheetId="0" hidden="1">{#N/A,#N/A,FALSE,"Financial";#N/A,#N/A,FALSE,"Balance Sheet";#N/A,#N/A,FALSE,"Income stmt";#N/A,#N/A,FALSE,"Ratio"}</definedName>
    <definedName name="_____________________wrn7" hidden="1">{#N/A,#N/A,FALSE,"Financial";#N/A,#N/A,FALSE,"Balance Sheet";#N/A,#N/A,FALSE,"Income stmt";#N/A,#N/A,FALSE,"Ratio"}</definedName>
    <definedName name="___________________wrn1" localSheetId="0" hidden="1">{"Annual",#N/A,FALSE,"Sales &amp; Market";"Quarterly",#N/A,FALSE,"Sales &amp; Market"}</definedName>
    <definedName name="___________________wrn1" hidden="1">{"Annual",#N/A,FALSE,"Sales &amp; Market";"Quarterly",#N/A,FALSE,"Sales &amp; Market"}</definedName>
    <definedName name="___________________wrn2" localSheetId="0" hidden="1">{"client cfbs",#N/A,FALSE,"Client"}</definedName>
    <definedName name="___________________wrn2" hidden="1">{"client cfbs",#N/A,FALSE,"Client"}</definedName>
    <definedName name="___________________wrn3" localSheetId="0" hidden="1">{"client is",#N/A,FALSE,"Client"}</definedName>
    <definedName name="___________________wrn3" hidden="1">{"client is",#N/A,FALSE,"Client"}</definedName>
    <definedName name="___________________wrn4" localSheetId="0" hidden="1">{"client stats",#N/A,FALSE,"Client"}</definedName>
    <definedName name="___________________wrn4" hidden="1">{"client stats",#N/A,FALSE,"Client"}</definedName>
    <definedName name="___________________wrn5" localSheetId="0" hidden="1">{"internal is",#N/A,FALSE,"Model"}</definedName>
    <definedName name="___________________wrn5" hidden="1">{"internal is",#N/A,FALSE,"Model"}</definedName>
    <definedName name="___________________wrn6" localSheetId="0" hidden="1">{"portrait letter is",#N/A,FALSE,"Model"}</definedName>
    <definedName name="___________________wrn6" hidden="1">{"portrait letter is",#N/A,FALSE,"Model"}</definedName>
    <definedName name="___________________wrn7" localSheetId="0" hidden="1">{#N/A,#N/A,FALSE,"Financial";#N/A,#N/A,FALSE,"Balance Sheet";#N/A,#N/A,FALSE,"Income stmt";#N/A,#N/A,FALSE,"Ratio"}</definedName>
    <definedName name="___________________wrn7" hidden="1">{#N/A,#N/A,FALSE,"Financial";#N/A,#N/A,FALSE,"Balance Sheet";#N/A,#N/A,FALSE,"Income stmt";#N/A,#N/A,FALSE,"Ratio"}</definedName>
    <definedName name="__________________T123456" localSheetId="0" hidden="1">{"COUNT",#N/A,FALSE,"AB"}</definedName>
    <definedName name="__________________T123456" hidden="1">{"COUNT",#N/A,FALSE,"AB"}</definedName>
    <definedName name="__________________T12347" localSheetId="0" hidden="1">{"COUNT",#N/A,FALSE,"AB"}</definedName>
    <definedName name="__________________T12347" hidden="1">{"COUNT",#N/A,FALSE,"AB"}</definedName>
    <definedName name="__________________wrn1" localSheetId="0" hidden="1">{"Annual",#N/A,FALSE,"Sales &amp; Market";"Quarterly",#N/A,FALSE,"Sales &amp; Market"}</definedName>
    <definedName name="__________________wrn1" hidden="1">{"Annual",#N/A,FALSE,"Sales &amp; Market";"Quarterly",#N/A,FALSE,"Sales &amp; Market"}</definedName>
    <definedName name="__________________wrn2" localSheetId="0" hidden="1">{"client cfbs",#N/A,FALSE,"Client"}</definedName>
    <definedName name="__________________wrn2" hidden="1">{"client cfbs",#N/A,FALSE,"Client"}</definedName>
    <definedName name="__________________wrn3" localSheetId="0" hidden="1">{"client is",#N/A,FALSE,"Client"}</definedName>
    <definedName name="__________________wrn3" hidden="1">{"client is",#N/A,FALSE,"Client"}</definedName>
    <definedName name="__________________wrn4" localSheetId="0" hidden="1">{"client stats",#N/A,FALSE,"Client"}</definedName>
    <definedName name="__________________wrn4" hidden="1">{"client stats",#N/A,FALSE,"Client"}</definedName>
    <definedName name="__________________wrn5" localSheetId="0" hidden="1">{"internal is",#N/A,FALSE,"Model"}</definedName>
    <definedName name="__________________wrn5" hidden="1">{"internal is",#N/A,FALSE,"Model"}</definedName>
    <definedName name="__________________wrn6" localSheetId="0" hidden="1">{"portrait letter is",#N/A,FALSE,"Model"}</definedName>
    <definedName name="__________________wrn6" hidden="1">{"portrait letter is",#N/A,FALSE,"Model"}</definedName>
    <definedName name="__________________wrn7" localSheetId="0" hidden="1">{#N/A,#N/A,FALSE,"Financial";#N/A,#N/A,FALSE,"Balance Sheet";#N/A,#N/A,FALSE,"Income stmt";#N/A,#N/A,FALSE,"Ratio"}</definedName>
    <definedName name="__________________wrn7" hidden="1">{#N/A,#N/A,FALSE,"Financial";#N/A,#N/A,FALSE,"Balance Sheet";#N/A,#N/A,FALSE,"Income stmt";#N/A,#N/A,FALSE,"Ratio"}</definedName>
    <definedName name="________________wrn1" localSheetId="0" hidden="1">{"Annual",#N/A,FALSE,"Sales &amp; Market";"Quarterly",#N/A,FALSE,"Sales &amp; Market"}</definedName>
    <definedName name="________________wrn1" hidden="1">{"Annual",#N/A,FALSE,"Sales &amp; Market";"Quarterly",#N/A,FALSE,"Sales &amp; Market"}</definedName>
    <definedName name="________________wrn2" localSheetId="0" hidden="1">{"client cfbs",#N/A,FALSE,"Client"}</definedName>
    <definedName name="________________wrn2" hidden="1">{"client cfbs",#N/A,FALSE,"Client"}</definedName>
    <definedName name="________________wrn3" localSheetId="0" hidden="1">{"client is",#N/A,FALSE,"Client"}</definedName>
    <definedName name="________________wrn3" hidden="1">{"client is",#N/A,FALSE,"Client"}</definedName>
    <definedName name="________________wrn4" localSheetId="0" hidden="1">{"client stats",#N/A,FALSE,"Client"}</definedName>
    <definedName name="________________wrn4" hidden="1">{"client stats",#N/A,FALSE,"Client"}</definedName>
    <definedName name="________________wrn5" localSheetId="0" hidden="1">{"internal is",#N/A,FALSE,"Model"}</definedName>
    <definedName name="________________wrn5" hidden="1">{"internal is",#N/A,FALSE,"Model"}</definedName>
    <definedName name="________________wrn6" localSheetId="0" hidden="1">{"portrait letter is",#N/A,FALSE,"Model"}</definedName>
    <definedName name="________________wrn6" hidden="1">{"portrait letter is",#N/A,FALSE,"Model"}</definedName>
    <definedName name="________________wrn7" localSheetId="0" hidden="1">{#N/A,#N/A,FALSE,"Financial";#N/A,#N/A,FALSE,"Balance Sheet";#N/A,#N/A,FALSE,"Income stmt";#N/A,#N/A,FALSE,"Ratio"}</definedName>
    <definedName name="________________wrn7" hidden="1">{#N/A,#N/A,FALSE,"Financial";#N/A,#N/A,FALSE,"Balance Sheet";#N/A,#N/A,FALSE,"Income stmt";#N/A,#N/A,FALSE,"Ratio"}</definedName>
    <definedName name="_______________r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______r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______wrn1" localSheetId="0" hidden="1">{"Annual",#N/A,FALSE,"Sales &amp; Market";"Quarterly",#N/A,FALSE,"Sales &amp; Market"}</definedName>
    <definedName name="_______________wrn1" hidden="1">{"Annual",#N/A,FALSE,"Sales &amp; Market";"Quarterly",#N/A,FALSE,"Sales &amp; Market"}</definedName>
    <definedName name="_______________wrn2" localSheetId="0" hidden="1">{"client cfbs",#N/A,FALSE,"Client"}</definedName>
    <definedName name="_______________wrn2" hidden="1">{"client cfbs",#N/A,FALSE,"Client"}</definedName>
    <definedName name="_______________wrn3" localSheetId="0" hidden="1">{"client is",#N/A,FALSE,"Client"}</definedName>
    <definedName name="_______________wrn3" hidden="1">{"client is",#N/A,FALSE,"Client"}</definedName>
    <definedName name="_______________wrn4" localSheetId="0" hidden="1">{"client stats",#N/A,FALSE,"Client"}</definedName>
    <definedName name="_______________wrn4" hidden="1">{"client stats",#N/A,FALSE,"Client"}</definedName>
    <definedName name="_______________wrn5" localSheetId="0" hidden="1">{"internal is",#N/A,FALSE,"Model"}</definedName>
    <definedName name="_______________wrn5" hidden="1">{"internal is",#N/A,FALSE,"Model"}</definedName>
    <definedName name="_______________wrn6" localSheetId="0" hidden="1">{"portrait letter is",#N/A,FALSE,"Model"}</definedName>
    <definedName name="_______________wrn6" hidden="1">{"portrait letter is",#N/A,FALSE,"Model"}</definedName>
    <definedName name="_______________wrn7" localSheetId="0" hidden="1">{#N/A,#N/A,FALSE,"Financial";#N/A,#N/A,FALSE,"Balance Sheet";#N/A,#N/A,FALSE,"Income stmt";#N/A,#N/A,FALSE,"Ratio"}</definedName>
    <definedName name="_______________wrn7" hidden="1">{#N/A,#N/A,FALSE,"Financial";#N/A,#N/A,FALSE,"Balance Sheet";#N/A,#N/A,FALSE,"Income stmt";#N/A,#N/A,FALSE,"Ratio"}</definedName>
    <definedName name="______________r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_____r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_____T123456" localSheetId="0" hidden="1">{"COUNT",#N/A,FALSE,"AB"}</definedName>
    <definedName name="______________T123456" hidden="1">{"COUNT",#N/A,FALSE,"AB"}</definedName>
    <definedName name="______________T12347" localSheetId="0" hidden="1">{"COUNT",#N/A,FALSE,"AB"}</definedName>
    <definedName name="______________T12347" hidden="1">{"COUNT",#N/A,FALSE,"AB"}</definedName>
    <definedName name="_____________r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____r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____wrn1" localSheetId="0" hidden="1">{"Annual",#N/A,FALSE,"Sales &amp; Market";"Quarterly",#N/A,FALSE,"Sales &amp; Market"}</definedName>
    <definedName name="_____________wrn1" hidden="1">{"Annual",#N/A,FALSE,"Sales &amp; Market";"Quarterly",#N/A,FALSE,"Sales &amp; Market"}</definedName>
    <definedName name="_____________wrn2" localSheetId="0" hidden="1">{"client cfbs",#N/A,FALSE,"Client"}</definedName>
    <definedName name="_____________wrn2" hidden="1">{"client cfbs",#N/A,FALSE,"Client"}</definedName>
    <definedName name="_____________wrn3" localSheetId="0" hidden="1">{"client is",#N/A,FALSE,"Client"}</definedName>
    <definedName name="_____________wrn3" hidden="1">{"client is",#N/A,FALSE,"Client"}</definedName>
    <definedName name="_____________wrn4" localSheetId="0" hidden="1">{"client stats",#N/A,FALSE,"Client"}</definedName>
    <definedName name="_____________wrn4" hidden="1">{"client stats",#N/A,FALSE,"Client"}</definedName>
    <definedName name="_____________wrn5" localSheetId="0" hidden="1">{"internal is",#N/A,FALSE,"Model"}</definedName>
    <definedName name="_____________wrn5" hidden="1">{"internal is",#N/A,FALSE,"Model"}</definedName>
    <definedName name="_____________wrn6" localSheetId="0" hidden="1">{"portrait letter is",#N/A,FALSE,"Model"}</definedName>
    <definedName name="_____________wrn6" hidden="1">{"portrait letter is",#N/A,FALSE,"Model"}</definedName>
    <definedName name="_____________wrn7" localSheetId="0" hidden="1">{#N/A,#N/A,FALSE,"Financial";#N/A,#N/A,FALSE,"Balance Sheet";#N/A,#N/A,FALSE,"Income stmt";#N/A,#N/A,FALSE,"Ratio"}</definedName>
    <definedName name="_____________wrn7" hidden="1">{#N/A,#N/A,FALSE,"Financial";#N/A,#N/A,FALSE,"Balance Sheet";#N/A,#N/A,FALSE,"Income stmt";#N/A,#N/A,FALSE,"Ratio"}</definedName>
    <definedName name="____________r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___r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___wrn1" localSheetId="0" hidden="1">{"Annual",#N/A,FALSE,"Sales &amp; Market";"Quarterly",#N/A,FALSE,"Sales &amp; Market"}</definedName>
    <definedName name="____________wrn1" hidden="1">{"Annual",#N/A,FALSE,"Sales &amp; Market";"Quarterly",#N/A,FALSE,"Sales &amp; Market"}</definedName>
    <definedName name="____________wrn2" localSheetId="0" hidden="1">{"client cfbs",#N/A,FALSE,"Client"}</definedName>
    <definedName name="____________wrn2" hidden="1">{"client cfbs",#N/A,FALSE,"Client"}</definedName>
    <definedName name="____________wrn3" localSheetId="0" hidden="1">{"client is",#N/A,FALSE,"Client"}</definedName>
    <definedName name="____________wrn3" hidden="1">{"client is",#N/A,FALSE,"Client"}</definedName>
    <definedName name="____________wrn4" localSheetId="0" hidden="1">{"client stats",#N/A,FALSE,"Client"}</definedName>
    <definedName name="____________wrn4" hidden="1">{"client stats",#N/A,FALSE,"Client"}</definedName>
    <definedName name="____________wrn5" localSheetId="0" hidden="1">{"internal is",#N/A,FALSE,"Model"}</definedName>
    <definedName name="____________wrn5" hidden="1">{"internal is",#N/A,FALSE,"Model"}</definedName>
    <definedName name="____________wrn6" localSheetId="0" hidden="1">{"portrait letter is",#N/A,FALSE,"Model"}</definedName>
    <definedName name="____________wrn6" hidden="1">{"portrait letter is",#N/A,FALSE,"Model"}</definedName>
    <definedName name="____________wrn7" localSheetId="0" hidden="1">{#N/A,#N/A,FALSE,"Financial";#N/A,#N/A,FALSE,"Balance Sheet";#N/A,#N/A,FALSE,"Income stmt";#N/A,#N/A,FALSE,"Ratio"}</definedName>
    <definedName name="____________wrn7" hidden="1">{#N/A,#N/A,FALSE,"Financial";#N/A,#N/A,FALSE,"Balance Sheet";#N/A,#N/A,FALSE,"Income stmt";#N/A,#N/A,FALSE,"Ratio"}</definedName>
    <definedName name="___________r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__r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__wrn1" localSheetId="0" hidden="1">{"Annual",#N/A,FALSE,"Sales &amp; Market";"Quarterly",#N/A,FALSE,"Sales &amp; Market"}</definedName>
    <definedName name="___________wrn1" hidden="1">{"Annual",#N/A,FALSE,"Sales &amp; Market";"Quarterly",#N/A,FALSE,"Sales &amp; Market"}</definedName>
    <definedName name="___________wrn2" localSheetId="0" hidden="1">{"client cfbs",#N/A,FALSE,"Client"}</definedName>
    <definedName name="___________wrn2" hidden="1">{"client cfbs",#N/A,FALSE,"Client"}</definedName>
    <definedName name="___________wrn3" localSheetId="0" hidden="1">{"client is",#N/A,FALSE,"Client"}</definedName>
    <definedName name="___________wrn3" hidden="1">{"client is",#N/A,FALSE,"Client"}</definedName>
    <definedName name="___________wrn4" localSheetId="0" hidden="1">{"client stats",#N/A,FALSE,"Client"}</definedName>
    <definedName name="___________wrn4" hidden="1">{"client stats",#N/A,FALSE,"Client"}</definedName>
    <definedName name="___________wrn5" localSheetId="0" hidden="1">{"internal is",#N/A,FALSE,"Model"}</definedName>
    <definedName name="___________wrn5" hidden="1">{"internal is",#N/A,FALSE,"Model"}</definedName>
    <definedName name="___________wrn6" localSheetId="0" hidden="1">{"portrait letter is",#N/A,FALSE,"Model"}</definedName>
    <definedName name="___________wrn6" hidden="1">{"portrait letter is",#N/A,FALSE,"Model"}</definedName>
    <definedName name="___________wrn7" localSheetId="0" hidden="1">{#N/A,#N/A,FALSE,"Financial";#N/A,#N/A,FALSE,"Balance Sheet";#N/A,#N/A,FALSE,"Income stmt";#N/A,#N/A,FALSE,"Ratio"}</definedName>
    <definedName name="___________wrn7" hidden="1">{#N/A,#N/A,FALSE,"Financial";#N/A,#N/A,FALSE,"Balance Sheet";#N/A,#N/A,FALSE,"Income stmt";#N/A,#N/A,FALSE,"Ratio"}</definedName>
    <definedName name="__________wrn1" localSheetId="0" hidden="1">{"Annual",#N/A,FALSE,"Sales &amp; Market";"Quarterly",#N/A,FALSE,"Sales &amp; Market"}</definedName>
    <definedName name="__________wrn1" hidden="1">{"Annual",#N/A,FALSE,"Sales &amp; Market";"Quarterly",#N/A,FALSE,"Sales &amp; Market"}</definedName>
    <definedName name="__________wrn2" localSheetId="0" hidden="1">{"client cfbs",#N/A,FALSE,"Client"}</definedName>
    <definedName name="__________wrn2" hidden="1">{"client cfbs",#N/A,FALSE,"Client"}</definedName>
    <definedName name="__________wrn3" localSheetId="0" hidden="1">{"client is",#N/A,FALSE,"Client"}</definedName>
    <definedName name="__________wrn3" hidden="1">{"client is",#N/A,FALSE,"Client"}</definedName>
    <definedName name="__________wrn4" localSheetId="0" hidden="1">{"client stats",#N/A,FALSE,"Client"}</definedName>
    <definedName name="__________wrn4" hidden="1">{"client stats",#N/A,FALSE,"Client"}</definedName>
    <definedName name="__________wrn5" localSheetId="0" hidden="1">{"internal is",#N/A,FALSE,"Model"}</definedName>
    <definedName name="__________wrn5" hidden="1">{"internal is",#N/A,FALSE,"Model"}</definedName>
    <definedName name="__________wrn6" localSheetId="0" hidden="1">{"portrait letter is",#N/A,FALSE,"Model"}</definedName>
    <definedName name="__________wrn6" hidden="1">{"portrait letter is",#N/A,FALSE,"Model"}</definedName>
    <definedName name="__________wrn7" localSheetId="0" hidden="1">{#N/A,#N/A,FALSE,"Financial";#N/A,#N/A,FALSE,"Balance Sheet";#N/A,#N/A,FALSE,"Income stmt";#N/A,#N/A,FALSE,"Ratio"}</definedName>
    <definedName name="__________wrn7" hidden="1">{#N/A,#N/A,FALSE,"Financial";#N/A,#N/A,FALSE,"Balance Sheet";#N/A,#N/A,FALSE,"Income stmt";#N/A,#N/A,FALSE,"Ratio"}</definedName>
    <definedName name="_________r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r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__s1" hidden="1">#REF!</definedName>
    <definedName name="_________s2" hidden="1">#REF!</definedName>
    <definedName name="_________s3" hidden="1">#REF!</definedName>
    <definedName name="_________s4" hidden="1">#REF!</definedName>
    <definedName name="_________s5" hidden="1">#REF!</definedName>
    <definedName name="_________s6" hidden="1">#REF!</definedName>
    <definedName name="_________wrn1" localSheetId="0" hidden="1">{"Annual",#N/A,FALSE,"Sales &amp; Market";"Quarterly",#N/A,FALSE,"Sales &amp; Market"}</definedName>
    <definedName name="_________wrn1" hidden="1">{"Annual",#N/A,FALSE,"Sales &amp; Market";"Quarterly",#N/A,FALSE,"Sales &amp; Market"}</definedName>
    <definedName name="_________wrn2" localSheetId="0" hidden="1">{"client cfbs",#N/A,FALSE,"Client"}</definedName>
    <definedName name="_________wrn2" hidden="1">{"client cfbs",#N/A,FALSE,"Client"}</definedName>
    <definedName name="_________wrn3" localSheetId="0" hidden="1">{"client is",#N/A,FALSE,"Client"}</definedName>
    <definedName name="_________wrn3" hidden="1">{"client is",#N/A,FALSE,"Client"}</definedName>
    <definedName name="_________wrn4" localSheetId="0" hidden="1">{"client stats",#N/A,FALSE,"Client"}</definedName>
    <definedName name="_________wrn4" hidden="1">{"client stats",#N/A,FALSE,"Client"}</definedName>
    <definedName name="_________wrn5" localSheetId="0" hidden="1">{"internal is",#N/A,FALSE,"Model"}</definedName>
    <definedName name="_________wrn5" hidden="1">{"internal is",#N/A,FALSE,"Model"}</definedName>
    <definedName name="_________wrn6" localSheetId="0" hidden="1">{"portrait letter is",#N/A,FALSE,"Model"}</definedName>
    <definedName name="_________wrn6" hidden="1">{"portrait letter is",#N/A,FALSE,"Model"}</definedName>
    <definedName name="_________wrn7" localSheetId="0" hidden="1">{#N/A,#N/A,FALSE,"Financial";#N/A,#N/A,FALSE,"Balance Sheet";#N/A,#N/A,FALSE,"Income stmt";#N/A,#N/A,FALSE,"Ratio"}</definedName>
    <definedName name="_________wrn7" hidden="1">{#N/A,#N/A,FALSE,"Financial";#N/A,#N/A,FALSE,"Balance Sheet";#N/A,#N/A,FALSE,"Income stmt";#N/A,#N/A,FALSE,"Ratio"}</definedName>
    <definedName name="________F2021" localSheetId="0" hidden="1">{#N/A,#N/A,FALSE,"970301";#N/A,#N/A,FALSE,"970302";#N/A,#N/A,FALSE,"970303";#N/A,#N/A,FALSE,"970304";#N/A,#N/A,FALSE,"COM1";#N/A,#N/A,FALSE,"COM2"}</definedName>
    <definedName name="________F2021" hidden="1">{#N/A,#N/A,FALSE,"970301";#N/A,#N/A,FALSE,"970302";#N/A,#N/A,FALSE,"970303";#N/A,#N/A,FALSE,"970304";#N/A,#N/A,FALSE,"COM1";#N/A,#N/A,FALSE,"COM2"}</definedName>
    <definedName name="________F208" localSheetId="0" hidden="1">{"toptrial",#N/A,TRUE,"toptrial";"adjustment",#N/A,TRUE,"toptrial";"voucher",#N/A,TRUE,"toptrial"}</definedName>
    <definedName name="________F208" hidden="1">{"toptrial",#N/A,TRUE,"toptrial";"adjustment",#N/A,TRUE,"toptrial";"voucher",#N/A,TRUE,"toptrial"}</definedName>
    <definedName name="________s1" hidden="1">#REF!</definedName>
    <definedName name="________s2" hidden="1">#REF!</definedName>
    <definedName name="________s3" hidden="1">#REF!</definedName>
    <definedName name="________s4" hidden="1">#REF!</definedName>
    <definedName name="________s5" hidden="1">#REF!</definedName>
    <definedName name="________s6" hidden="1">#REF!</definedName>
    <definedName name="________wrn1" localSheetId="0" hidden="1">{"Annual",#N/A,FALSE,"Sales &amp; Market";"Quarterly",#N/A,FALSE,"Sales &amp; Market"}</definedName>
    <definedName name="________wrn1" hidden="1">{"Annual",#N/A,FALSE,"Sales &amp; Market";"Quarterly",#N/A,FALSE,"Sales &amp; Market"}</definedName>
    <definedName name="________wrn2" localSheetId="0" hidden="1">{"client cfbs",#N/A,FALSE,"Client"}</definedName>
    <definedName name="________wrn2" hidden="1">{"client cfbs",#N/A,FALSE,"Client"}</definedName>
    <definedName name="________wrn3" localSheetId="0" hidden="1">{"client is",#N/A,FALSE,"Client"}</definedName>
    <definedName name="________wrn3" hidden="1">{"client is",#N/A,FALSE,"Client"}</definedName>
    <definedName name="________wrn4" localSheetId="0" hidden="1">{"client stats",#N/A,FALSE,"Client"}</definedName>
    <definedName name="________wrn4" hidden="1">{"client stats",#N/A,FALSE,"Client"}</definedName>
    <definedName name="________wrn5" localSheetId="0" hidden="1">{"internal is",#N/A,FALSE,"Model"}</definedName>
    <definedName name="________wrn5" hidden="1">{"internal is",#N/A,FALSE,"Model"}</definedName>
    <definedName name="________wrn6" localSheetId="0" hidden="1">{"portrait letter is",#N/A,FALSE,"Model"}</definedName>
    <definedName name="________wrn6" hidden="1">{"portrait letter is",#N/A,FALSE,"Model"}</definedName>
    <definedName name="________wrn7" localSheetId="0" hidden="1">{#N/A,#N/A,FALSE,"Financial";#N/A,#N/A,FALSE,"Balance Sheet";#N/A,#N/A,FALSE,"Income stmt";#N/A,#N/A,FALSE,"Ratio"}</definedName>
    <definedName name="________wrn7" hidden="1">{#N/A,#N/A,FALSE,"Financial";#N/A,#N/A,FALSE,"Balance Sheet";#N/A,#N/A,FALSE,"Income stmt";#N/A,#N/A,FALSE,"Ratio"}</definedName>
    <definedName name="_______A2" hidden="1">#REF!</definedName>
    <definedName name="_______CA03" hidden="1">#REF!</definedName>
    <definedName name="_______F2021" localSheetId="0" hidden="1">{#N/A,#N/A,FALSE,"970301";#N/A,#N/A,FALSE,"970302";#N/A,#N/A,FALSE,"970303";#N/A,#N/A,FALSE,"970304";#N/A,#N/A,FALSE,"COM1";#N/A,#N/A,FALSE,"COM2"}</definedName>
    <definedName name="_______F2021" hidden="1">{#N/A,#N/A,FALSE,"970301";#N/A,#N/A,FALSE,"970302";#N/A,#N/A,FALSE,"970303";#N/A,#N/A,FALSE,"970304";#N/A,#N/A,FALSE,"COM1";#N/A,#N/A,FALSE,"COM2"}</definedName>
    <definedName name="_______F208" localSheetId="0" hidden="1">{"toptrial",#N/A,TRUE,"toptrial";"adjustment",#N/A,TRUE,"toptrial";"voucher",#N/A,TRUE,"toptrial"}</definedName>
    <definedName name="_______F208" hidden="1">{"toptrial",#N/A,TRUE,"toptrial";"adjustment",#N/A,TRUE,"toptrial";"voucher",#N/A,TRUE,"toptrial"}</definedName>
    <definedName name="_______m7" hidden="1">#N/A</definedName>
    <definedName name="_______r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r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__s1" hidden="1">#REF!</definedName>
    <definedName name="_______s2" hidden="1">#REF!</definedName>
    <definedName name="_______s3" hidden="1">#REF!</definedName>
    <definedName name="_______s4" hidden="1">#REF!</definedName>
    <definedName name="_______s5" hidden="1">#REF!</definedName>
    <definedName name="_______s6" hidden="1">#REF!</definedName>
    <definedName name="_______T123456" localSheetId="0" hidden="1">{"COUNT",#N/A,FALSE,"AB"}</definedName>
    <definedName name="_______T123456" hidden="1">{"COUNT",#N/A,FALSE,"AB"}</definedName>
    <definedName name="_______T12347" localSheetId="0" hidden="1">{"COUNT",#N/A,FALSE,"AB"}</definedName>
    <definedName name="_______T12347" hidden="1">{"COUNT",#N/A,FALSE,"AB"}</definedName>
    <definedName name="______A2" hidden="1">#REF!</definedName>
    <definedName name="______CA03" hidden="1">#REF!</definedName>
    <definedName name="______m7" hidden="1">#N/A</definedName>
    <definedName name="______s1" hidden="1">#REF!</definedName>
    <definedName name="______s2" hidden="1">#REF!</definedName>
    <definedName name="______s3" hidden="1">#REF!</definedName>
    <definedName name="______s4" hidden="1">#REF!</definedName>
    <definedName name="______s5" hidden="1">#REF!</definedName>
    <definedName name="______s6" hidden="1">#REF!</definedName>
    <definedName name="______SSS1" hidden="1">#REF!</definedName>
    <definedName name="______wrn1" localSheetId="0" hidden="1">{"Annual",#N/A,FALSE,"Sales &amp; Market";"Quarterly",#N/A,FALSE,"Sales &amp; Market"}</definedName>
    <definedName name="______wrn1" hidden="1">{"Annual",#N/A,FALSE,"Sales &amp; Market";"Quarterly",#N/A,FALSE,"Sales &amp; Market"}</definedName>
    <definedName name="______wrn2" localSheetId="0" hidden="1">{"client cfbs",#N/A,FALSE,"Client"}</definedName>
    <definedName name="______wrn2" hidden="1">{"client cfbs",#N/A,FALSE,"Client"}</definedName>
    <definedName name="______wrn3" localSheetId="0" hidden="1">{"client is",#N/A,FALSE,"Client"}</definedName>
    <definedName name="______wrn3" hidden="1">{"client is",#N/A,FALSE,"Client"}</definedName>
    <definedName name="______wrn4" localSheetId="0" hidden="1">{"client stats",#N/A,FALSE,"Client"}</definedName>
    <definedName name="______wrn4" hidden="1">{"client stats",#N/A,FALSE,"Client"}</definedName>
    <definedName name="______wrn5" localSheetId="0" hidden="1">{"internal is",#N/A,FALSE,"Model"}</definedName>
    <definedName name="______wrn5" hidden="1">{"internal is",#N/A,FALSE,"Model"}</definedName>
    <definedName name="______wrn6" localSheetId="0" hidden="1">{"portrait letter is",#N/A,FALSE,"Model"}</definedName>
    <definedName name="______wrn6" hidden="1">{"portrait letter is",#N/A,FALSE,"Model"}</definedName>
    <definedName name="______wrn7" localSheetId="0" hidden="1">{#N/A,#N/A,FALSE,"Financial";#N/A,#N/A,FALSE,"Balance Sheet";#N/A,#N/A,FALSE,"Income stmt";#N/A,#N/A,FALSE,"Ratio"}</definedName>
    <definedName name="______wrn7" hidden="1">{#N/A,#N/A,FALSE,"Financial";#N/A,#N/A,FALSE,"Balance Sheet";#N/A,#N/A,FALSE,"Income stmt";#N/A,#N/A,FALSE,"Ratio"}</definedName>
    <definedName name="_____A2" hidden="1">#REF!</definedName>
    <definedName name="_____abc123" localSheetId="0" hidden="1">{"JimZhang - Personal View",#N/A,FALSE,"800230"}</definedName>
    <definedName name="_____abc123" hidden="1">{"JimZhang - Personal View",#N/A,FALSE,"800230"}</definedName>
    <definedName name="_____b2" localSheetId="0" hidden="1">{"PVGraph2",#N/A,FALSE,"PV Data"}</definedName>
    <definedName name="_____b2" hidden="1">{"PVGraph2",#N/A,FALSE,"PV Data"}</definedName>
    <definedName name="_____CA03" hidden="1">#REF!</definedName>
    <definedName name="_____F2021" localSheetId="0" hidden="1">{#N/A,#N/A,FALSE,"970301";#N/A,#N/A,FALSE,"970302";#N/A,#N/A,FALSE,"970303";#N/A,#N/A,FALSE,"970304";#N/A,#N/A,FALSE,"COM1";#N/A,#N/A,FALSE,"COM2"}</definedName>
    <definedName name="_____F2021" hidden="1">{#N/A,#N/A,FALSE,"970301";#N/A,#N/A,FALSE,"970302";#N/A,#N/A,FALSE,"970303";#N/A,#N/A,FALSE,"970304";#N/A,#N/A,FALSE,"COM1";#N/A,#N/A,FALSE,"COM2"}</definedName>
    <definedName name="_____F208" localSheetId="0" hidden="1">{"toptrial",#N/A,TRUE,"toptrial";"adjustment",#N/A,TRUE,"toptrial";"voucher",#N/A,TRUE,"toptrial"}</definedName>
    <definedName name="_____F208" hidden="1">{"toptrial",#N/A,TRUE,"toptrial";"adjustment",#N/A,TRUE,"toptrial";"voucher",#N/A,TRUE,"toptrial"}</definedName>
    <definedName name="_____I2" localSheetId="0" hidden="1">{"PVGraph2",#N/A,FALSE,"PV Data"}</definedName>
    <definedName name="_____I2" hidden="1">{"PVGraph2",#N/A,FALSE,"PV Data"}</definedName>
    <definedName name="_____i21" localSheetId="0" hidden="1">{"PVGraph2",#N/A,FALSE,"PV Data"}</definedName>
    <definedName name="_____i21" hidden="1">{"PVGraph2",#N/A,FALSE,"PV Data"}</definedName>
    <definedName name="_____I22" localSheetId="0" hidden="1">{"PVGraph2",#N/A,FALSE,"PV Data"}</definedName>
    <definedName name="_____I22" hidden="1">{"PVGraph2",#N/A,FALSE,"PV Data"}</definedName>
    <definedName name="_____i2211" localSheetId="0" hidden="1">{"PVGraph2",#N/A,FALSE,"PV Data"}</definedName>
    <definedName name="_____i2211" hidden="1">{"PVGraph2",#N/A,FALSE,"PV Data"}</definedName>
    <definedName name="_____i223" localSheetId="0" hidden="1">{"PVGraph2",#N/A,FALSE,"PV Data"}</definedName>
    <definedName name="_____i223" hidden="1">{"PVGraph2",#N/A,FALSE,"PV Data"}</definedName>
    <definedName name="_____i23" localSheetId="0" hidden="1">{"PVGraph2",#N/A,FALSE,"PV Data"}</definedName>
    <definedName name="_____i23" hidden="1">{"PVGraph2",#N/A,FALSE,"PV Data"}</definedName>
    <definedName name="_____i2323" localSheetId="0" hidden="1">{"PVGraph2",#N/A,FALSE,"PV Data"}</definedName>
    <definedName name="_____i2323" hidden="1">{"PVGraph2",#N/A,FALSE,"PV Data"}</definedName>
    <definedName name="_____i24" localSheetId="0" hidden="1">{"PVGraph2",#N/A,FALSE,"PV Data"}</definedName>
    <definedName name="_____i24" hidden="1">{"PVGraph2",#N/A,FALSE,"PV Data"}</definedName>
    <definedName name="_____I3" localSheetId="0" hidden="1">{"PVGraph2",#N/A,FALSE,"PV Data"}</definedName>
    <definedName name="_____I3" hidden="1">{"PVGraph2",#N/A,FALSE,"PV Data"}</definedName>
    <definedName name="_____II2" localSheetId="0" hidden="1">{"PVGraph2",#N/A,FALSE,"PV Data"}</definedName>
    <definedName name="_____II2" hidden="1">{"PVGraph2",#N/A,FALSE,"PV Data"}</definedName>
    <definedName name="_____key1" hidden="1">#REF!</definedName>
    <definedName name="_____key2" hidden="1">#REF!</definedName>
    <definedName name="_____KKK001" localSheetId="0" hidden="1">{"JimZhang - Personal View",#N/A,FALSE,"800230"}</definedName>
    <definedName name="_____KKK001" hidden="1">{"JimZhang - Personal View",#N/A,FALSE,"800230"}</definedName>
    <definedName name="_____m7" hidden="1">#N/A</definedName>
    <definedName name="_____s1" hidden="1">#REF!</definedName>
    <definedName name="_____s2" hidden="1">#REF!</definedName>
    <definedName name="_____s3" hidden="1">#REF!</definedName>
    <definedName name="_____s4" hidden="1">#REF!</definedName>
    <definedName name="_____s5" hidden="1">#REF!</definedName>
    <definedName name="_____s6" hidden="1">#REF!</definedName>
    <definedName name="_____SSS1" hidden="1">#REF!</definedName>
    <definedName name="_____T123456" localSheetId="0" hidden="1">{"COUNT",#N/A,FALSE,"AB"}</definedName>
    <definedName name="_____T123456" hidden="1">{"COUNT",#N/A,FALSE,"AB"}</definedName>
    <definedName name="_____T12347" localSheetId="0" hidden="1">{"COUNT",#N/A,FALSE,"AB"}</definedName>
    <definedName name="_____T12347" hidden="1">{"COUNT",#N/A,FALSE,"AB"}</definedName>
    <definedName name="_____w1" localSheetId="0" hidden="1">{"PVGraph2",#N/A,FALSE,"PV Data"}</definedName>
    <definedName name="_____w1" hidden="1">{"PVGraph2",#N/A,FALSE,"PV Data"}</definedName>
    <definedName name="_____w11" localSheetId="0" hidden="1">{"PVGraph2",#N/A,FALSE,"PV Data"}</definedName>
    <definedName name="_____w11" hidden="1">{"PVGraph2",#N/A,FALSE,"PV Data"}</definedName>
    <definedName name="_____w112" localSheetId="0" hidden="1">{"PVGraph2",#N/A,FALSE,"PV Data"}</definedName>
    <definedName name="_____w112" hidden="1">{"PVGraph2",#N/A,FALSE,"PV Data"}</definedName>
    <definedName name="_____w1121" localSheetId="0" hidden="1">{"PVGraph2",#N/A,FALSE,"PV Data"}</definedName>
    <definedName name="_____w1121" hidden="1">{"PVGraph2",#N/A,FALSE,"PV Data"}</definedName>
    <definedName name="_____w12" localSheetId="0" hidden="1">{"PVGraph2",#N/A,FALSE,"PV Data"}</definedName>
    <definedName name="_____w12" hidden="1">{"PVGraph2",#N/A,FALSE,"PV Data"}</definedName>
    <definedName name="_____w121" localSheetId="0" hidden="1">{"PVGraph2",#N/A,FALSE,"PV Data"}</definedName>
    <definedName name="_____w121" hidden="1">{"PVGraph2",#N/A,FALSE,"PV Data"}</definedName>
    <definedName name="_____w12345" localSheetId="0" hidden="1">{"PVGraph2",#N/A,FALSE,"PV Data"}</definedName>
    <definedName name="_____w12345" hidden="1">{"PVGraph2",#N/A,FALSE,"PV Data"}</definedName>
    <definedName name="_____w13" localSheetId="0" hidden="1">{"PVGraph2",#N/A,FALSE,"PV Data"}</definedName>
    <definedName name="_____w13" hidden="1">{"PVGraph2",#N/A,FALSE,"PV Data"}</definedName>
    <definedName name="_____w2" localSheetId="0" hidden="1">{"PVGraph2",#N/A,FALSE,"PV Data"}</definedName>
    <definedName name="_____w2" hidden="1">{"PVGraph2",#N/A,FALSE,"PV Data"}</definedName>
    <definedName name="_____w3" localSheetId="0" hidden="1">{"PVGraph2",#N/A,FALSE,"PV Data"}</definedName>
    <definedName name="_____w3" hidden="1">{"PVGraph2",#N/A,FALSE,"PV Data"}</definedName>
    <definedName name="_____w9" localSheetId="0" hidden="1">{"PVGraph2",#N/A,FALSE,"PV Data"}</definedName>
    <definedName name="_____w9" hidden="1">{"PVGraph2",#N/A,FALSE,"PV Data"}</definedName>
    <definedName name="_____wrn1" localSheetId="0" hidden="1">{"Annual",#N/A,FALSE,"Sales &amp; Market";"Quarterly",#N/A,FALSE,"Sales &amp; Market"}</definedName>
    <definedName name="_____wrn1" hidden="1">{"Annual",#N/A,FALSE,"Sales &amp; Market";"Quarterly",#N/A,FALSE,"Sales &amp; Market"}</definedName>
    <definedName name="_____wrn2" localSheetId="0" hidden="1">{"client cfbs",#N/A,FALSE,"Client"}</definedName>
    <definedName name="_____wrn2" hidden="1">{"client cfbs",#N/A,FALSE,"Client"}</definedName>
    <definedName name="_____wrn3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wrn3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__wrn4" localSheetId="0" hidden="1">{"client stats",#N/A,FALSE,"Client"}</definedName>
    <definedName name="_____wrn4" hidden="1">{"client stats",#N/A,FALSE,"Client"}</definedName>
    <definedName name="_____wrn5" localSheetId="0" hidden="1">{"internal is",#N/A,FALSE,"Model"}</definedName>
    <definedName name="_____wrn5" hidden="1">{"internal is",#N/A,FALSE,"Model"}</definedName>
    <definedName name="_____wrn6" localSheetId="0" hidden="1">{"portrait letter is",#N/A,FALSE,"Model"}</definedName>
    <definedName name="_____wrn6" hidden="1">{"portrait letter is",#N/A,FALSE,"Model"}</definedName>
    <definedName name="_____wrn7" localSheetId="0" hidden="1">{#N/A,#N/A,FALSE,"Financial";#N/A,#N/A,FALSE,"Balance Sheet";#N/A,#N/A,FALSE,"Income stmt";#N/A,#N/A,FALSE,"Ratio"}</definedName>
    <definedName name="_____wrn7" hidden="1">{#N/A,#N/A,FALSE,"Financial";#N/A,#N/A,FALSE,"Balance Sheet";#N/A,#N/A,FALSE,"Income stmt";#N/A,#N/A,FALSE,"Ratio"}</definedName>
    <definedName name="_____x2" localSheetId="0" hidden="1">{"PVGraph2",#N/A,FALSE,"PV Data"}</definedName>
    <definedName name="_____x2" hidden="1">{"PVGraph2",#N/A,FALSE,"PV Data"}</definedName>
    <definedName name="_____y2" localSheetId="0" hidden="1">{"PVGraph2",#N/A,FALSE,"PV Data"}</definedName>
    <definedName name="_____y2" hidden="1">{"PVGraph2",#N/A,FALSE,"PV Data"}</definedName>
    <definedName name="_____y22" localSheetId="0" hidden="1">{"PVGraph2",#N/A,FALSE,"PV Data"}</definedName>
    <definedName name="_____y22" hidden="1">{"PVGraph2",#N/A,FALSE,"PV Data"}</definedName>
    <definedName name="____1__123Graph_ATEILM_RKTE" hidden="1">#REF!</definedName>
    <definedName name="____2__123Graph_ATEILM_RKTE2" hidden="1">#REF!</definedName>
    <definedName name="____3__123Graph_XTEILM_RKTE2" hidden="1">#REF!</definedName>
    <definedName name="____A2" hidden="1">#REF!</definedName>
    <definedName name="____a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a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abc123" localSheetId="0" hidden="1">{"JimZhang - Personal View",#N/A,FALSE,"800230"}</definedName>
    <definedName name="____abc123" hidden="1">{"JimZhang - Personal View",#N/A,FALSE,"800230"}</definedName>
    <definedName name="____age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ug07" localSheetId="0" hidden="1">{#N/A,#N/A,FALSE,"TAX COMPUTATION";#N/A,#N/A,FALSE,"TAX SCHEDULE";#N/A,#N/A,FALSE,"ADDITIONS";#N/A,#N/A,FALSE,"W &amp; T"}</definedName>
    <definedName name="____Aug07" hidden="1">{#N/A,#N/A,FALSE,"TAX COMPUTATION";#N/A,#N/A,FALSE,"TAX SCHEDULE";#N/A,#N/A,FALSE,"ADDITIONS";#N/A,#N/A,FALSE,"W &amp; T"}</definedName>
    <definedName name="____b3" localSheetId="0" hidden="1">{"PVGraph2",#N/A,FALSE,"PV Data"}</definedName>
    <definedName name="____b3" hidden="1">{"PVGraph2",#N/A,FALSE,"PV Data"}</definedName>
    <definedName name="____CA03" hidden="1">#REF!</definedName>
    <definedName name="____dfk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F2021" localSheetId="0" hidden="1">{#N/A,#N/A,FALSE,"970301";#N/A,#N/A,FALSE,"970302";#N/A,#N/A,FALSE,"970303";#N/A,#N/A,FALSE,"970304";#N/A,#N/A,FALSE,"COM1";#N/A,#N/A,FALSE,"COM2"}</definedName>
    <definedName name="____F2021" hidden="1">{#N/A,#N/A,FALSE,"970301";#N/A,#N/A,FALSE,"970302";#N/A,#N/A,FALSE,"970303";#N/A,#N/A,FALSE,"970304";#N/A,#N/A,FALSE,"COM1";#N/A,#N/A,FALSE,"COM2"}</definedName>
    <definedName name="____F208" localSheetId="0" hidden="1">{"toptrial",#N/A,TRUE,"toptrial";"adjustment",#N/A,TRUE,"toptrial";"voucher",#N/A,TRUE,"toptrial"}</definedName>
    <definedName name="____F208" hidden="1">{"toptrial",#N/A,TRUE,"toptrial";"adjustment",#N/A,TRUE,"toptrial";"voucher",#N/A,TRUE,"toptrial"}</definedName>
    <definedName name="____key1" hidden="1">#REF!</definedName>
    <definedName name="____key2" hidden="1">#REF!</definedName>
    <definedName name="____key3" hidden="1">#REF!</definedName>
    <definedName name="____KKK001" localSheetId="0" hidden="1">{"JimZhang - Personal View",#N/A,FALSE,"800230"}</definedName>
    <definedName name="____KKK001" hidden="1">{"JimZhang - Personal View",#N/A,FALSE,"800230"}</definedName>
    <definedName name="____m7" hidden="1">#N/A</definedName>
    <definedName name="____new1" localSheetId="0" hidden="1">{#N/A,#N/A,TRUE,"COVER";#N/A,#N/A,TRUE,"DIR";#N/A,#N/A,TRUE,"AUDIT"}</definedName>
    <definedName name="____new1" hidden="1">{#N/A,#N/A,TRUE,"COVER";#N/A,#N/A,TRUE,"DIR";#N/A,#N/A,TRUE,"AUDIT"}</definedName>
    <definedName name="____New2" localSheetId="0" hidden="1">{"TOTAL",#N/A,FALSE,"A";"FISCAL94",#N/A,FALSE,"A";"FISCAL95",#N/A,FALSE,"A";"FISCAL96",#N/A,FALSE,"A";"misc page",#N/A,FALSE,"A"}</definedName>
    <definedName name="____New2" hidden="1">{"TOTAL",#N/A,FALSE,"A";"FISCAL94",#N/A,FALSE,"A";"FISCAL95",#N/A,FALSE,"A";"FISCAL96",#N/A,FALSE,"A";"misc page",#N/A,FALSE,"A"}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o1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oo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qq1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_qq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_rev2" localSheetId="0" hidden="1">{"'Eng (page2)'!$A$1:$D$52"}</definedName>
    <definedName name="____rev2" hidden="1">{"'Eng (page2)'!$A$1:$D$52"}</definedName>
    <definedName name="____s1" hidden="1">#REF!</definedName>
    <definedName name="____s2" hidden="1">#REF!</definedName>
    <definedName name="____s3" hidden="1">#REF!</definedName>
    <definedName name="____s4" hidden="1">#REF!</definedName>
    <definedName name="____s5" hidden="1">#REF!</definedName>
    <definedName name="____s6" hidden="1">#REF!</definedName>
    <definedName name="____SSS1" hidden="1">#REF!</definedName>
    <definedName name="____T123456" localSheetId="0" hidden="1">{"COUNT",#N/A,FALSE,"AB"}</definedName>
    <definedName name="____T123456" hidden="1">{"COUNT",#N/A,FALSE,"AB"}</definedName>
    <definedName name="____T12347" localSheetId="0" hidden="1">{"COUNT",#N/A,FALSE,"AB"}</definedName>
    <definedName name="____T12347" hidden="1">{"COUNT",#N/A,FALSE,"AB"}</definedName>
    <definedName name="____vin1" hidden="1">#REF!</definedName>
    <definedName name="____W1" localSheetId="0" hidden="1">{#N/A,#N/A,FALSE,"OffAdvance";#N/A,#N/A,FALSE,"OffExpRprt";#N/A,#N/A,FALSE,"Entertmnt";#N/A,#N/A,FALSE,"Promotion";#N/A,#N/A,FALSE,"Travelling"}</definedName>
    <definedName name="____W1" hidden="1">{#N/A,#N/A,FALSE,"OffAdvance";#N/A,#N/A,FALSE,"OffExpRprt";#N/A,#N/A,FALSE,"Entertmnt";#N/A,#N/A,FALSE,"Promotion";#N/A,#N/A,FALSE,"Travelling"}</definedName>
    <definedName name="____wrn1" localSheetId="0" hidden="1">{"Annual",#N/A,FALSE,"Sales &amp; Market";"Quarterly",#N/A,FALSE,"Sales &amp; Market"}</definedName>
    <definedName name="____wrn1" hidden="1">{"Annual",#N/A,FALSE,"Sales &amp; Market";"Quarterly",#N/A,FALSE,"Sales &amp; Market"}</definedName>
    <definedName name="____wrn2" localSheetId="0" hidden="1">{"client cfbs",#N/A,FALSE,"Client"}</definedName>
    <definedName name="____wrn2" hidden="1">{"client cfbs",#N/A,FALSE,"Client"}</definedName>
    <definedName name="____wrn3" localSheetId="0" hidden="1">{"client is",#N/A,FALSE,"Client"}</definedName>
    <definedName name="____wrn3" hidden="1">{"client is",#N/A,FALSE,"Client"}</definedName>
    <definedName name="____wrn4" localSheetId="0" hidden="1">{"client stats",#N/A,FALSE,"Client"}</definedName>
    <definedName name="____wrn4" hidden="1">{"client stats",#N/A,FALSE,"Client"}</definedName>
    <definedName name="____wrn5" localSheetId="0" hidden="1">{"internal is",#N/A,FALSE,"Model"}</definedName>
    <definedName name="____wrn5" hidden="1">{"internal is",#N/A,FALSE,"Model"}</definedName>
    <definedName name="____wrn6" localSheetId="0" hidden="1">{"portrait letter is",#N/A,FALSE,"Model"}</definedName>
    <definedName name="____wrn6" hidden="1">{"portrait letter is",#N/A,FALSE,"Model"}</definedName>
    <definedName name="____wrn7" localSheetId="0" hidden="1">{#N/A,#N/A,FALSE,"Financial";#N/A,#N/A,FALSE,"Balance Sheet";#N/A,#N/A,FALSE,"Income stmt";#N/A,#N/A,FALSE,"Ratio"}</definedName>
    <definedName name="____wrn7" hidden="1">{#N/A,#N/A,FALSE,"Financial";#N/A,#N/A,FALSE,"Balance Sheet";#N/A,#N/A,FALSE,"Income stmt";#N/A,#N/A,FALSE,"Ratio"}</definedName>
    <definedName name="____Y5" localSheetId="0" hidden="1">{#N/A,#N/A,FALSE,"970301";#N/A,#N/A,FALSE,"970302";#N/A,#N/A,FALSE,"970303";#N/A,#N/A,FALSE,"970304";#N/A,#N/A,FALSE,"COM1";#N/A,#N/A,FALSE,"COM2"}</definedName>
    <definedName name="____Y5" hidden="1">{#N/A,#N/A,FALSE,"970301";#N/A,#N/A,FALSE,"970302";#N/A,#N/A,FALSE,"970303";#N/A,#N/A,FALSE,"970304";#N/A,#N/A,FALSE,"COM1";#N/A,#N/A,FALSE,"COM2"}</definedName>
    <definedName name="___1__123Graph_ATEILM_RKTE" hidden="1">#REF!</definedName>
    <definedName name="___2__123Graph_ATEILM_RKTE2" hidden="1">#REF!</definedName>
    <definedName name="___3__123Graph_XTEILM_RKTE2" hidden="1">#REF!</definedName>
    <definedName name="___A100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___A100" hidden="1">{#N/A,#N/A,FALSE,"DIR-REP";#N/A,#N/A,FALSE,"AUD-REPORT";#N/A,#N/A,FALSE,"P7L&amp;BS";#N/A,#N/A,FALSE,"NOTES";#N/A,#N/A,FALSE,"FA";#N/A,#N/A,FALSE,"NOTES (2)";#N/A,#N/A,FALSE,"Schedule  IV";#N/A,#N/A,FALSE,"Schedule V"}</definedName>
    <definedName name="___A1001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___A1001" hidden="1">{#N/A,#N/A,FALSE,"DIR-REP";#N/A,#N/A,FALSE,"AUD-REPORT";#N/A,#N/A,FALSE,"P7L&amp;BS";#N/A,#N/A,FALSE,"NOTES";#N/A,#N/A,FALSE,"FA";#N/A,#N/A,FALSE,"NOTES (2)";#N/A,#N/A,FALSE,"Schedule  IV";#N/A,#N/A,FALSE,"Schedule V"}</definedName>
    <definedName name="___A2" hidden="1">#REF!</definedName>
    <definedName name="___abc123" localSheetId="0" hidden="1">{"JimZhang - Personal View",#N/A,FALSE,"800230"}</definedName>
    <definedName name="___abc123" hidden="1">{"JimZhang - Personal View",#N/A,FALSE,"800230"}</definedName>
    <definedName name="___ad1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AG4" localSheetId="0" hidden="1">{#N/A,#N/A,FALSE,"TAXC.INDEX";#N/A,#N/A,FALSE,"Schedule I";#N/A,#N/A,FALSE,"Schedule  II";#N/A,#N/A,FALSE,"Schedule III"}</definedName>
    <definedName name="___AG4" hidden="1">{#N/A,#N/A,FALSE,"TAXC.INDEX";#N/A,#N/A,FALSE,"Schedule I";#N/A,#N/A,FALSE,"Schedule  II";#N/A,#N/A,FALSE,"Schedule III"}</definedName>
    <definedName name="___b2" localSheetId="0" hidden="1">{"PVGraph2",#N/A,FALSE,"PV Data"}</definedName>
    <definedName name="___b2" hidden="1">{"PVGraph2",#N/A,FALSE,"PV Data"}</definedName>
    <definedName name="___BA4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BA4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bs4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bs4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BS5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BS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C100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C100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CA03" hidden="1">#REF!</definedName>
    <definedName name="___df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df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df2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df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E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100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2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350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F2021" localSheetId="0" hidden="1">{#N/A,#N/A,FALSE,"970301";#N/A,#N/A,FALSE,"970302";#N/A,#N/A,FALSE,"970303";#N/A,#N/A,FALSE,"970304";#N/A,#N/A,FALSE,"COM1";#N/A,#N/A,FALSE,"COM2"}</definedName>
    <definedName name="___F2021" hidden="1">{#N/A,#N/A,FALSE,"970301";#N/A,#N/A,FALSE,"970302";#N/A,#N/A,FALSE,"970303";#N/A,#N/A,FALSE,"970304";#N/A,#N/A,FALSE,"COM1";#N/A,#N/A,FALSE,"COM2"}</definedName>
    <definedName name="___F208" localSheetId="0" hidden="1">{"toptrial",#N/A,TRUE,"toptrial";"adjustment",#N/A,TRUE,"toptrial";"voucher",#N/A,TRUE,"toptrial"}</definedName>
    <definedName name="___F208" hidden="1">{"toptrial",#N/A,TRUE,"toptrial";"adjustment",#N/A,TRUE,"toptrial";"voucher",#N/A,TRUE,"toptrial"}</definedName>
    <definedName name="___I2" localSheetId="0" hidden="1">{"PVGraph2",#N/A,FALSE,"PV Data"}</definedName>
    <definedName name="___I2" hidden="1">{"PVGraph2",#N/A,FALSE,"PV Data"}</definedName>
    <definedName name="___i21" localSheetId="0" hidden="1">{"PVGraph2",#N/A,FALSE,"PV Data"}</definedName>
    <definedName name="___i21" hidden="1">{"PVGraph2",#N/A,FALSE,"PV Data"}</definedName>
    <definedName name="___I22" localSheetId="0" hidden="1">{"PVGraph2",#N/A,FALSE,"PV Data"}</definedName>
    <definedName name="___I22" hidden="1">{"PVGraph2",#N/A,FALSE,"PV Data"}</definedName>
    <definedName name="___i2211" localSheetId="0" hidden="1">{"PVGraph2",#N/A,FALSE,"PV Data"}</definedName>
    <definedName name="___i2211" hidden="1">{"PVGraph2",#N/A,FALSE,"PV Data"}</definedName>
    <definedName name="___i223" localSheetId="0" hidden="1">{"PVGraph2",#N/A,FALSE,"PV Data"}</definedName>
    <definedName name="___i223" hidden="1">{"PVGraph2",#N/A,FALSE,"PV Data"}</definedName>
    <definedName name="___i23" localSheetId="0" hidden="1">{"PVGraph2",#N/A,FALSE,"PV Data"}</definedName>
    <definedName name="___i23" hidden="1">{"PVGraph2",#N/A,FALSE,"PV Data"}</definedName>
    <definedName name="___i2323" localSheetId="0" hidden="1">{"PVGraph2",#N/A,FALSE,"PV Data"}</definedName>
    <definedName name="___i2323" hidden="1">{"PVGraph2",#N/A,FALSE,"PV Data"}</definedName>
    <definedName name="___i24" localSheetId="0" hidden="1">{"PVGraph2",#N/A,FALSE,"PV Data"}</definedName>
    <definedName name="___i24" hidden="1">{"PVGraph2",#N/A,FALSE,"PV Data"}</definedName>
    <definedName name="___I3" localSheetId="0" hidden="1">{"PVGraph2",#N/A,FALSE,"PV Data"}</definedName>
    <definedName name="___I3" hidden="1">{"PVGraph2",#N/A,FALSE,"PV Data"}</definedName>
    <definedName name="___II2" localSheetId="0" hidden="1">{"PVGraph2",#N/A,FALSE,"PV Data"}</definedName>
    <definedName name="___II2" hidden="1">{"PVGraph2",#N/A,FALSE,"PV Data"}</definedName>
    <definedName name="___Jul09" localSheetId="0" hidden="1">{#N/A,#N/A,FALSE,"GPM";#N/A,#N/A,FALSE,"CE";#N/A,#N/A,FALSE,"Heat";#N/A,#N/A,FALSE,"ResTm";#N/A,#N/A,FALSE,"BLEND$"}</definedName>
    <definedName name="___Jul09" hidden="1">{#N/A,#N/A,FALSE,"GPM";#N/A,#N/A,FALSE,"CE";#N/A,#N/A,FALSE,"Heat";#N/A,#N/A,FALSE,"ResTm";#N/A,#N/A,FALSE,"BLEND$"}</definedName>
    <definedName name="___k1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k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key1" hidden="1">#REF!</definedName>
    <definedName name="___key2" hidden="1">#REF!</definedName>
    <definedName name="___key3" hidden="1">#REF!</definedName>
    <definedName name="___KKK001" localSheetId="0" hidden="1">{"JimZhang - Personal View",#N/A,FALSE,"800230"}</definedName>
    <definedName name="___KKK001" hidden="1">{"JimZhang - Personal View",#N/A,FALSE,"800230"}</definedName>
    <definedName name="___LF12" hidden="1">#REF!</definedName>
    <definedName name="___m7" hidden="1">#N/A</definedName>
    <definedName name="___new1" localSheetId="0" hidden="1">{#N/A,#N/A,TRUE,"COVER";#N/A,#N/A,TRUE,"DIR";#N/A,#N/A,TRUE,"AUDIT"}</definedName>
    <definedName name="___new1" hidden="1">{#N/A,#N/A,TRUE,"COVER";#N/A,#N/A,TRUE,"DIR";#N/A,#N/A,TRUE,"AUDIT"}</definedName>
    <definedName name="___oo1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oo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pl25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pl2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PPE2" hidden="1">#REF!</definedName>
    <definedName name="___qq1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qq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rev2" localSheetId="0" hidden="1">{"'Eng (page2)'!$A$1:$D$52"}</definedName>
    <definedName name="___rev2" hidden="1">{"'Eng (page2)'!$A$1:$D$52"}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SS1" hidden="1">#REF!</definedName>
    <definedName name="___vin1" hidden="1">#REF!</definedName>
    <definedName name="___w1" localSheetId="0" hidden="1">{"PVGraph2",#N/A,FALSE,"PV Data"}</definedName>
    <definedName name="___w1" hidden="1">{#N/A,#N/A,FALSE,"DIR-REP";#N/A,#N/A,FALSE,"AUD-REPORT";#N/A,#N/A,FALSE,"P7L&amp;BS";#N/A,#N/A,FALSE,"NOTES";#N/A,#N/A,FALSE,"FA";#N/A,#N/A,FALSE,"NOTES (2)";#N/A,#N/A,FALSE,"Schedule  IV";#N/A,#N/A,FALSE,"Schedule V"}</definedName>
    <definedName name="___w11" localSheetId="0" hidden="1">{"PVGraph2",#N/A,FALSE,"PV Data"}</definedName>
    <definedName name="___w11" hidden="1">{"PVGraph2",#N/A,FALSE,"PV Data"}</definedName>
    <definedName name="___w112" localSheetId="0" hidden="1">{"PVGraph2",#N/A,FALSE,"PV Data"}</definedName>
    <definedName name="___w112" hidden="1">{"PVGraph2",#N/A,FALSE,"PV Data"}</definedName>
    <definedName name="___w1121" localSheetId="0" hidden="1">{"PVGraph2",#N/A,FALSE,"PV Data"}</definedName>
    <definedName name="___w1121" hidden="1">{"PVGraph2",#N/A,FALSE,"PV Data"}</definedName>
    <definedName name="___w12" localSheetId="0" hidden="1">{"PVGraph2",#N/A,FALSE,"PV Data"}</definedName>
    <definedName name="___w12" hidden="1">{"PVGraph2",#N/A,FALSE,"PV Data"}</definedName>
    <definedName name="___w121" localSheetId="0" hidden="1">{"PVGraph2",#N/A,FALSE,"PV Data"}</definedName>
    <definedName name="___w121" hidden="1">{"PVGraph2",#N/A,FALSE,"PV Data"}</definedName>
    <definedName name="___w12345" localSheetId="0" hidden="1">{"PVGraph2",#N/A,FALSE,"PV Data"}</definedName>
    <definedName name="___w12345" hidden="1">{"PVGraph2",#N/A,FALSE,"PV Data"}</definedName>
    <definedName name="___w13" localSheetId="0" hidden="1">{"PVGraph2",#N/A,FALSE,"PV Data"}</definedName>
    <definedName name="___w13" hidden="1">{"PVGraph2",#N/A,FALSE,"PV Data"}</definedName>
    <definedName name="___w2" localSheetId="0" hidden="1">{"PVGraph2",#N/A,FALSE,"PV Data"}</definedName>
    <definedName name="___w2" hidden="1">{"PVGraph2",#N/A,FALSE,"PV Data"}</definedName>
    <definedName name="___w3" localSheetId="0" hidden="1">{"PVGraph2",#N/A,FALSE,"PV Data"}</definedName>
    <definedName name="___w3" hidden="1">{"PVGraph2",#N/A,FALSE,"PV Data"}</definedName>
    <definedName name="___W37" localSheetId="0" hidden="1">{#N/A,#N/A,FALSE,"Eff-SSC2"}</definedName>
    <definedName name="___W37" hidden="1">{#N/A,#N/A,FALSE,"Eff-SSC2"}</definedName>
    <definedName name="___W38" localSheetId="0" hidden="1">{#N/A,#N/A,FALSE,"Eff-SSC2"}</definedName>
    <definedName name="___W38" hidden="1">{#N/A,#N/A,FALSE,"Eff-SSC2"}</definedName>
    <definedName name="___w39" localSheetId="0" hidden="1">{#N/A,#N/A,FALSE,"Eff-SSC2"}</definedName>
    <definedName name="___w39" hidden="1">{#N/A,#N/A,FALSE,"Eff-SSC2"}</definedName>
    <definedName name="___w45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w4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w9" localSheetId="0" hidden="1">{"PVGraph2",#N/A,FALSE,"PV Data"}</definedName>
    <definedName name="___w9" hidden="1">{"PVGraph2",#N/A,FALSE,"PV Data"}</definedName>
    <definedName name="___wrn1" localSheetId="0" hidden="1">{"Annual",#N/A,FALSE,"Sales &amp; Market";"Quarterly",#N/A,FALSE,"Sales &amp; Market"}</definedName>
    <definedName name="___wrn1" hidden="1">{"Annual",#N/A,FALSE,"Sales &amp; Market";"Quarterly",#N/A,FALSE,"Sales &amp; Market"}</definedName>
    <definedName name="___wrn2" localSheetId="0" hidden="1">{"client cfbs",#N/A,FALSE,"Client"}</definedName>
    <definedName name="___wrn2" hidden="1">{"client cfbs",#N/A,FALSE,"Client"}</definedName>
    <definedName name="___wrn3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wrn3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___wrn4" localSheetId="0" hidden="1">{"client stats",#N/A,FALSE,"Client"}</definedName>
    <definedName name="___wrn4" hidden="1">{"client stats",#N/A,FALSE,"Client"}</definedName>
    <definedName name="___wrn5" localSheetId="0" hidden="1">{"internal is",#N/A,FALSE,"Model"}</definedName>
    <definedName name="___wrn5" hidden="1">{"internal is",#N/A,FALSE,"Model"}</definedName>
    <definedName name="___wrn6" localSheetId="0" hidden="1">{"portrait letter is",#N/A,FALSE,"Model"}</definedName>
    <definedName name="___wrn6" hidden="1">{"portrait letter is",#N/A,FALSE,"Model"}</definedName>
    <definedName name="___wrn7" localSheetId="0" hidden="1">{#N/A,#N/A,FALSE,"Financial";#N/A,#N/A,FALSE,"Balance Sheet";#N/A,#N/A,FALSE,"Income stmt";#N/A,#N/A,FALSE,"Ratio"}</definedName>
    <definedName name="___wrn7" hidden="1">{#N/A,#N/A,FALSE,"Financial";#N/A,#N/A,FALSE,"Balance Sheet";#N/A,#N/A,FALSE,"Income stmt";#N/A,#N/A,FALSE,"Ratio"}</definedName>
    <definedName name="___wt7" localSheetId="0" hidden="1">{#N/A,#N/A,FALSE,"Brasil";#N/A,#N/A,FALSE,"Brasil"}</definedName>
    <definedName name="___wt7" hidden="1">{#N/A,#N/A,FALSE,"Brasil";#N/A,#N/A,FALSE,"Brasil"}</definedName>
    <definedName name="___x2" localSheetId="0" hidden="1">{"PVGraph2",#N/A,FALSE,"PV Data"}</definedName>
    <definedName name="___x2" hidden="1">{"PVGraph2",#N/A,FALSE,"PV Data"}</definedName>
    <definedName name="___y2" localSheetId="0" hidden="1">{"PVGraph2",#N/A,FALSE,"PV Data"}</definedName>
    <definedName name="___y2" hidden="1">{"PVGraph2",#N/A,FALSE,"PV Data"}</definedName>
    <definedName name="___y22" localSheetId="0" hidden="1">{"PVGraph2",#N/A,FALSE,"PV Data"}</definedName>
    <definedName name="___y22" hidden="1">{"PVGraph2",#N/A,FALSE,"PV Data"}</definedName>
    <definedName name="___Y5" localSheetId="0" hidden="1">{#N/A,#N/A,FALSE,"970301";#N/A,#N/A,FALSE,"970302";#N/A,#N/A,FALSE,"970303";#N/A,#N/A,FALSE,"970304";#N/A,#N/A,FALSE,"COM1";#N/A,#N/A,FALSE,"COM2"}</definedName>
    <definedName name="___Y5" hidden="1">{#N/A,#N/A,FALSE,"970301";#N/A,#N/A,FALSE,"970302";#N/A,#N/A,FALSE,"970303";#N/A,#N/A,FALSE,"970304";#N/A,#N/A,FALSE,"COM1";#N/A,#N/A,FALSE,"COM2"}</definedName>
    <definedName name="__1__123Graph_ATEILM_RKTE" hidden="1">#REF!</definedName>
    <definedName name="__123Graph_AATLN" hidden="1">#REF!</definedName>
    <definedName name="__123Graph_ACHART1" localSheetId="0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19" hidden="1">#REF!</definedName>
    <definedName name="__123Graph_ACHART2" hidden="1">#REF!</definedName>
    <definedName name="__123Graph_ACHART20" hidden="1">#REF!</definedName>
    <definedName name="__123Graph_ACHART21" hidden="1">#REF!</definedName>
    <definedName name="__123Graph_ACHART2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OAL" hidden="1">#REF!</definedName>
    <definedName name="__123Graph_ACURRENT" hidden="1">#REF!</definedName>
    <definedName name="__123Graph_AGrafiek1" hidden="1">#REF!</definedName>
    <definedName name="__123Graph_AGRAPH1" hidden="1">#REF!</definedName>
    <definedName name="__123Graph_AGRAPH2" hidden="1">#REF!</definedName>
    <definedName name="__123Graph_AGRAPH4" hidden="1">#REF!</definedName>
    <definedName name="__123Graph_AINDTRY" hidden="1">#REF!</definedName>
    <definedName name="__123Graph_ANETPROFIT2" hidden="1">#REF!</definedName>
    <definedName name="__123Graph_APIS" hidden="1">#REF!</definedName>
    <definedName name="__123Graph_APRINCIPAL" hidden="1">#REF!</definedName>
    <definedName name="__123Graph_APROJECT" hidden="1">#REF!</definedName>
    <definedName name="__123Graph_ASALESTREND" hidden="1">#REF!</definedName>
    <definedName name="__123Graph_ASLIDE17" hidden="1">#REF!</definedName>
    <definedName name="__123Graph_ASLIDEIII15" hidden="1">#REF!</definedName>
    <definedName name="__123Graph_ASLIDEIII25" hidden="1">#REF!</definedName>
    <definedName name="__123Graph_ASLIDEIII26" hidden="1">#REF!</definedName>
    <definedName name="__123Graph_ATEILM?RKTE" hidden="1">#REF!</definedName>
    <definedName name="__123Graph_ATEILM?RKTE2" hidden="1">#REF!</definedName>
    <definedName name="__123Graph_ATEILMŽRKTE" hidden="1">#REF!</definedName>
    <definedName name="__123Graph_ATEILMŽRKTE2" hidden="1">#REF!</definedName>
    <definedName name="__123Graph_AYTD" hidden="1">#REF!</definedName>
    <definedName name="__123Graph_BATLN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19" hidden="1">#REF!</definedName>
    <definedName name="__123Graph_BCHART2" hidden="1">#REF!</definedName>
    <definedName name="__123Graph_BCHART20" hidden="1">#REF!</definedName>
    <definedName name="__123Graph_BCHART22" hidden="1">#REF!</definedName>
    <definedName name="__123Graph_BCHART3" hidden="1">#REF!</definedName>
    <definedName name="__123Graph_BCHART4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OAL" hidden="1">#REF!</definedName>
    <definedName name="__123Graph_BCurrent" hidden="1">#REF!</definedName>
    <definedName name="__123Graph_BGRAPH1" hidden="1">#REF!</definedName>
    <definedName name="__123Graph_BGRAPH2" hidden="1">#REF!</definedName>
    <definedName name="__123Graph_BGRAPH4" hidden="1">#REF!</definedName>
    <definedName name="__123Graph_BINDTRY" hidden="1">#REF!</definedName>
    <definedName name="__123Graph_BPIS" hidden="1">#REF!</definedName>
    <definedName name="__123Graph_BSLIDE17" hidden="1">#REF!</definedName>
    <definedName name="__123Graph_BSLIDEIII15" hidden="1">#REF!</definedName>
    <definedName name="__123Graph_BSLIDEIII25" hidden="1">#REF!</definedName>
    <definedName name="__123Graph_BSLIDEIII26" hidden="1">#REF!</definedName>
    <definedName name="__123Graph_CATLN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4" hidden="1">#REF!</definedName>
    <definedName name="__123Graph_CCHART15" hidden="1">#REF!</definedName>
    <definedName name="__123Graph_CCHART2" hidden="1">#REF!</definedName>
    <definedName name="__123Graph_CCHART22" hidden="1">#REF!</definedName>
    <definedName name="__123Graph_CCHART3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OAL" hidden="1">#REF!</definedName>
    <definedName name="__123Graph_CCONT" hidden="1">#REF!</definedName>
    <definedName name="__123Graph_CCOST" hidden="1">#REF!</definedName>
    <definedName name="__123Graph_CCurrent" hidden="1">#REF!</definedName>
    <definedName name="__123Graph_CGM" hidden="1">#REF!</definedName>
    <definedName name="__123Graph_CINDTRY" hidden="1">#REF!</definedName>
    <definedName name="__123Graph_CPIS" hidden="1">#REF!</definedName>
    <definedName name="__123Graph_CREV" hidden="1">#REF!</definedName>
    <definedName name="__123Graph_CSLIDEIII25" hidden="1">#REF!</definedName>
    <definedName name="__123Graph_CSLIDEIII26" hidden="1">#REF!</definedName>
    <definedName name="__123Graph_D" hidden="1">#REF!</definedName>
    <definedName name="__123Graph_DATLN" hidden="1">#REF!</definedName>
    <definedName name="__123Graph_DCHART1" hidden="1">#REF!</definedName>
    <definedName name="__123Graph_DCHART10" hidden="1">#REF!</definedName>
    <definedName name="__123Graph_DCHART14" hidden="1">#REF!</definedName>
    <definedName name="__123Graph_DCHART2" hidden="1">#REF!</definedName>
    <definedName name="__123Graph_DCOAL" hidden="1">#REF!</definedName>
    <definedName name="__123Graph_DCurrent" hidden="1">#REF!</definedName>
    <definedName name="__123Graph_DINDTRY" hidden="1">#REF!</definedName>
    <definedName name="__123Graph_DPIS" hidden="1">#REF!</definedName>
    <definedName name="__123Graph_DSLIDEIII25" hidden="1">#REF!</definedName>
    <definedName name="__123Graph_ECHART1" hidden="1">#REF!</definedName>
    <definedName name="__123Graph_ECHART2" hidden="1">#REF!</definedName>
    <definedName name="__123Graph_ECOAL" hidden="1">#REF!</definedName>
    <definedName name="__123Graph_ECurrent" hidden="1">#REF!</definedName>
    <definedName name="__123Graph_EOQC" hidden="1">#REF!</definedName>
    <definedName name="__123Graph_ESI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FOQC" hidden="1">#REF!</definedName>
    <definedName name="__123Graph_FSI" hidden="1">#REF!</definedName>
    <definedName name="__123Graph_LBL_A" hidden="1">#REF!</definedName>
    <definedName name="__123Graph_LBL_AGRAPH1" hidden="1">#REF!</definedName>
    <definedName name="__123Graph_LBL_ANETPROFIT2" hidden="1">#REF!</definedName>
    <definedName name="__123Graph_LBL_APRINCIPAL" hidden="1">#REF!</definedName>
    <definedName name="__123Graph_LBL_APROJECT" hidden="1">#REF!</definedName>
    <definedName name="__123Graph_LBL_ASALESTREND" hidden="1">#REF!</definedName>
    <definedName name="__123Graph_LBL_AYTD" hidden="1">#REF!</definedName>
    <definedName name="__123Graph_LBL_B" hidden="1">#REF!</definedName>
    <definedName name="__123Graph_LBL_BGRAPH1" hidden="1">#REF!</definedName>
    <definedName name="__123Graph_LBL_C" hidden="1">#REF!</definedName>
    <definedName name="__123Graph_LBL_CCHART22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CHART1" hidden="1">#REF!</definedName>
    <definedName name="__123Graph_XCHART10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14" hidden="1">#REF!</definedName>
    <definedName name="__123Graph_XCHART15" hidden="1">#REF!</definedName>
    <definedName name="__123Graph_XCHART16" hidden="1">#REF!</definedName>
    <definedName name="__123Graph_XCHART17" hidden="1">#REF!</definedName>
    <definedName name="__123Graph_XCHART18" hidden="1">#REF!</definedName>
    <definedName name="__123Graph_XCHART19" hidden="1">#REF!</definedName>
    <definedName name="__123Graph_XCHART2" hidden="1">#REF!</definedName>
    <definedName name="__123Graph_XCHART20" hidden="1">#REF!</definedName>
    <definedName name="__123Graph_XCHART21" hidden="1">#REF!</definedName>
    <definedName name="__123Graph_XCHART2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HART8" hidden="1">#REF!</definedName>
    <definedName name="__123Graph_XCHART9" hidden="1">#REF!</definedName>
    <definedName name="__123Graph_XCOAL" hidden="1">#REF!</definedName>
    <definedName name="__123Graph_XCONT" hidden="1">#REF!</definedName>
    <definedName name="__123Graph_XCOST" hidden="1">#REF!</definedName>
    <definedName name="__123Graph_XCURRENT" hidden="1">#REF!</definedName>
    <definedName name="__123Graph_XGM" hidden="1">#REF!</definedName>
    <definedName name="__123Graph_XGRAPH1" hidden="1">#REF!</definedName>
    <definedName name="__123Graph_XGRAPH2" hidden="1">#REF!</definedName>
    <definedName name="__123Graph_XGRAPH4" hidden="1">#REF!</definedName>
    <definedName name="__123Graph_XINDTRY" hidden="1">#REF!</definedName>
    <definedName name="__123Graph_XPIS" hidden="1">#REF!</definedName>
    <definedName name="__123Graph_XREV" hidden="1">#REF!</definedName>
    <definedName name="__123Graph_XSALESTREND" hidden="1">#REF!</definedName>
    <definedName name="__123Graph_XSLIDE17" hidden="1">#REF!</definedName>
    <definedName name="__123Graph_XSLIDEIII15" hidden="1">#REF!</definedName>
    <definedName name="__123Graph_XSLIDEIII25" hidden="1">#REF!</definedName>
    <definedName name="__123Graph_XSLIDEIII26" hidden="1">#REF!</definedName>
    <definedName name="__123Graph_XTEILM?RKTE2" hidden="1">#REF!</definedName>
    <definedName name="__123Graph_XTEILMŽRKTE2" hidden="1">#REF!</definedName>
    <definedName name="__123GraphB1" hidden="1">#REF!</definedName>
    <definedName name="__2__123Graph_ATEILM_RKTE2" hidden="1">#REF!</definedName>
    <definedName name="__3__123Graph_XTEILM_RKTE2" hidden="1">#REF!</definedName>
    <definedName name="__a1" localSheetId="0" hidden="1">{#N/A,#N/A,FALSE,"Virgin Flightdeck"}</definedName>
    <definedName name="__a1" hidden="1">{#N/A,#N/A,FALSE,"Virgin Flightdeck"}</definedName>
    <definedName name="__A100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__A100" hidden="1">{#N/A,#N/A,FALSE,"DIR-REP";#N/A,#N/A,FALSE,"AUD-REPORT";#N/A,#N/A,FALSE,"P7L&amp;BS";#N/A,#N/A,FALSE,"NOTES";#N/A,#N/A,FALSE,"FA";#N/A,#N/A,FALSE,"NOTES (2)";#N/A,#N/A,FALSE,"Schedule  IV";#N/A,#N/A,FALSE,"Schedule V"}</definedName>
    <definedName name="__A1001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__A1001" hidden="1">{#N/A,#N/A,FALSE,"DIR-REP";#N/A,#N/A,FALSE,"AUD-REPORT";#N/A,#N/A,FALSE,"P7L&amp;BS";#N/A,#N/A,FALSE,"NOTES";#N/A,#N/A,FALSE,"FA";#N/A,#N/A,FALSE,"NOTES (2)";#N/A,#N/A,FALSE,"Schedule  IV";#N/A,#N/A,FALSE,"Schedule V"}</definedName>
    <definedName name="__a2" localSheetId="0" hidden="1">{#N/A,#N/A,FALSE,"Virgin Flightdeck"}</definedName>
    <definedName name="__A2" hidden="1">#REF!</definedName>
    <definedName name="__a3" localSheetId="0" hidden="1">{#N/A,#N/A,FALSE,"Virgin Flightdeck"}</definedName>
    <definedName name="__a3" hidden="1">{#N/A,#N/A,FALSE,"Virgin Flightdeck"}</definedName>
    <definedName name="__a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bc123" localSheetId="0" hidden="1">{"JimZhang - Personal View",#N/A,FALSE,"800230"}</definedName>
    <definedName name="__abc123" hidden="1">{"JimZhang - Personal View",#N/A,FALSE,"800230"}</definedName>
    <definedName name="__ad1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AG4" localSheetId="0" hidden="1">{#N/A,#N/A,FALSE,"TAXC.INDEX";#N/A,#N/A,FALSE,"Schedule I";#N/A,#N/A,FALSE,"Schedule  II";#N/A,#N/A,FALSE,"Schedule III"}</definedName>
    <definedName name="__AG4" hidden="1">{#N/A,#N/A,FALSE,"TAXC.INDEX";#N/A,#N/A,FALSE,"Schedule I";#N/A,#N/A,FALSE,"Schedule  II";#N/A,#N/A,FALSE,"Schedule III"}</definedName>
    <definedName name="__AM2" localSheetId="0" hidden="1">{"expltr",#N/A,FALSE,"Expense projects";"explgl",#N/A,FALSE,"Expense projects"}</definedName>
    <definedName name="__AM2" hidden="1">{"expltr",#N/A,FALSE,"Expense projects";"explgl",#N/A,FALSE,"Expense projects"}</definedName>
    <definedName name="__AM7" localSheetId="0" hidden="1">{"expltr",#N/A,FALSE,"Expense projects";"explgl",#N/A,FALSE,"Expense projects"}</definedName>
    <definedName name="__AM7" hidden="1">{"expltr",#N/A,FALSE,"Expense projects";"explgl",#N/A,FALSE,"Expense projects"}</definedName>
    <definedName name="__APW_RESTORE_DATA0__" hidden="1">#REF!</definedName>
    <definedName name="__APW_RESTORE_DATA1__" hidden="1">#REF!</definedName>
    <definedName name="__APW_RESTORE_DATA2__" hidden="1">#REF!</definedName>
    <definedName name="__APW_RESTORE_DATA3__" hidden="1">#REF!</definedName>
    <definedName name="__APW_RESTORE_DATA4__" hidden="1">#REF!</definedName>
    <definedName name="__APW_RESTORE_DATA5__" hidden="1">#REF!</definedName>
    <definedName name="__APW_RESTORE_DATA6__" hidden="1">#REF!</definedName>
    <definedName name="__Aug07" localSheetId="0" hidden="1">{#N/A,#N/A,FALSE,"TAX COMPUTATION";#N/A,#N/A,FALSE,"TAX SCHEDULE";#N/A,#N/A,FALSE,"ADDITIONS";#N/A,#N/A,FALSE,"W &amp; T"}</definedName>
    <definedName name="__Aug07" hidden="1">{#N/A,#N/A,FALSE,"TAX COMPUTATION";#N/A,#N/A,FALSE,"TAX SCHEDULE";#N/A,#N/A,FALSE,"ADDITIONS";#N/A,#N/A,FALSE,"W &amp; T"}</definedName>
    <definedName name="__b2" localSheetId="0" hidden="1">{#N/A,#N/A,FALSE,"Virgin Flightdeck"}</definedName>
    <definedName name="__b2" hidden="1">{#N/A,#N/A,FALSE,"Virgin Flightdeck"}</definedName>
    <definedName name="__b3" localSheetId="0" hidden="1">{#N/A,#N/A,FALSE,"Virgin Flightdeck"}</definedName>
    <definedName name="__b3" hidden="1">{#N/A,#N/A,FALSE,"Virgin Flightdeck"}</definedName>
    <definedName name="__C100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C100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CA03" hidden="1">#REF!</definedName>
    <definedName name="__ControlBit__" hidden="1">"ENCODE_"</definedName>
    <definedName name="__Convert__" hidden="1">"ENCODE_"</definedName>
    <definedName name="__df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df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df2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df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E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100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2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350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F2021" localSheetId="0" hidden="1">{#N/A,#N/A,FALSE,"970301";#N/A,#N/A,FALSE,"970302";#N/A,#N/A,FALSE,"970303";#N/A,#N/A,FALSE,"970304";#N/A,#N/A,FALSE,"COM1";#N/A,#N/A,FALSE,"COM2"}</definedName>
    <definedName name="__F2021" hidden="1">{#N/A,#N/A,FALSE,"970301";#N/A,#N/A,FALSE,"970302";#N/A,#N/A,FALSE,"970303";#N/A,#N/A,FALSE,"970304";#N/A,#N/A,FALSE,"COM1";#N/A,#N/A,FALSE,"COM2"}</definedName>
    <definedName name="__F208" localSheetId="0" hidden="1">{"toptrial",#N/A,TRUE,"toptrial";"adjustment",#N/A,TRUE,"toptrial";"voucher",#N/A,TRUE,"toptrial"}</definedName>
    <definedName name="__F208" hidden="1">{"toptrial",#N/A,TRUE,"toptrial";"adjustment",#N/A,TRUE,"toptrial";"voucher",#N/A,TRUE,"toptrial"}</definedName>
    <definedName name="__fd4" hidden="1">#REF!</definedName>
    <definedName name="__FDS_HYPERLINK_TOGGLE_STATE__" hidden="1">"ON"</definedName>
    <definedName name="__FDS_UNIQUE_RANGE_ID_GENERATOR_COUNTER" hidden="1">84</definedName>
    <definedName name="__fy97" localSheetId="0" hidden="1">{#N/A,#N/A,FALSE,"FY97";#N/A,#N/A,FALSE,"FY98";#N/A,#N/A,FALSE,"FY99";#N/A,#N/A,FALSE,"FY00";#N/A,#N/A,FALSE,"FY01"}</definedName>
    <definedName name="__fy97" hidden="1">{#N/A,#N/A,FALSE,"FY97";#N/A,#N/A,FALSE,"FY98";#N/A,#N/A,FALSE,"FY99";#N/A,#N/A,FALSE,"FY00";#N/A,#N/A,FALSE,"FY01"}</definedName>
    <definedName name="__h2" localSheetId="0" hidden="1">{#N/A,#N/A,FALSE,"Virgin Flightdeck"}</definedName>
    <definedName name="__h2" hidden="1">{#N/A,#N/A,FALSE,"Virgin Flightdeck"}</definedName>
    <definedName name="__h3" localSheetId="0" hidden="1">{#N/A,#N/A,FALSE,"Virgin Flightdeck"}</definedName>
    <definedName name="__h3" hidden="1">{#N/A,#N/A,FALSE,"Virgin Flightdeck"}</definedName>
    <definedName name="__I2" localSheetId="0" hidden="1">{"PVGraph2",#N/A,FALSE,"PV Data"}</definedName>
    <definedName name="__I2" hidden="1">{"PVGraph2",#N/A,FALSE,"PV Data"}</definedName>
    <definedName name="__i21" localSheetId="0" hidden="1">{"PVGraph2",#N/A,FALSE,"PV Data"}</definedName>
    <definedName name="__i21" hidden="1">{"PVGraph2",#N/A,FALSE,"PV Data"}</definedName>
    <definedName name="__I22" localSheetId="0" hidden="1">{"PVGraph2",#N/A,FALSE,"PV Data"}</definedName>
    <definedName name="__I22" hidden="1">{"PVGraph2",#N/A,FALSE,"PV Data"}</definedName>
    <definedName name="__i2211" localSheetId="0" hidden="1">{"PVGraph2",#N/A,FALSE,"PV Data"}</definedName>
    <definedName name="__i2211" hidden="1">{"PVGraph2",#N/A,FALSE,"PV Data"}</definedName>
    <definedName name="__i223" localSheetId="0" hidden="1">{"PVGraph2",#N/A,FALSE,"PV Data"}</definedName>
    <definedName name="__i223" hidden="1">{"PVGraph2",#N/A,FALSE,"PV Data"}</definedName>
    <definedName name="__i23" localSheetId="0" hidden="1">{"PVGraph2",#N/A,FALSE,"PV Data"}</definedName>
    <definedName name="__i23" hidden="1">{"PVGraph2",#N/A,FALSE,"PV Data"}</definedName>
    <definedName name="__i2323" localSheetId="0" hidden="1">{"PVGraph2",#N/A,FALSE,"PV Data"}</definedName>
    <definedName name="__i2323" hidden="1">{"PVGraph2",#N/A,FALSE,"PV Data"}</definedName>
    <definedName name="__i24" localSheetId="0" hidden="1">{"PVGraph2",#N/A,FALSE,"PV Data"}</definedName>
    <definedName name="__i24" hidden="1">{"PVGraph2",#N/A,FALSE,"PV Data"}</definedName>
    <definedName name="__I3" localSheetId="0" hidden="1">{"PVGraph2",#N/A,FALSE,"PV Data"}</definedName>
    <definedName name="__I3" hidden="1">{"PVGraph2",#N/A,FALSE,"PV Data"}</definedName>
    <definedName name="__II2" localSheetId="0" hidden="1">{"PVGraph2",#N/A,FALSE,"PV Data"}</definedName>
    <definedName name="__II2" hidden="1">{"PVGraph2",#N/A,FALSE,"PV Data"}</definedName>
    <definedName name="__IncludeVoucher__" hidden="1">"ENCODE_"</definedName>
    <definedName name="__IntlFixup" hidden="1">TRUE</definedName>
    <definedName name="__IntlFixupTable" hidden="1">#REF!</definedName>
    <definedName name="__k1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k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key1" hidden="1">#REF!</definedName>
    <definedName name="__key2" hidden="1">#REF!</definedName>
    <definedName name="__key3" hidden="1">#REF!</definedName>
    <definedName name="__KKK001" localSheetId="0" hidden="1">{"JimZhang - Personal View",#N/A,FALSE,"800230"}</definedName>
    <definedName name="__KKK001" hidden="1">{"JimZhang - Personal View",#N/A,FALSE,"800230"}</definedName>
    <definedName name="__KXL2" localSheetId="0" hidden="1">{#N/A,#N/A,FALSE,"Summary";#N/A,#N/A,FALSE,"Month";#N/A,#N/A,FALSE,"YTD";#N/A,#N/A,FALSE,"Charts"}</definedName>
    <definedName name="__KXL2" hidden="1">{#N/A,#N/A,FALSE,"Summary";#N/A,#N/A,FALSE,"Month";#N/A,#N/A,FALSE,"YTD";#N/A,#N/A,FALSE,"Charts"}</definedName>
    <definedName name="__LF12" hidden="1">#REF!</definedName>
    <definedName name="__LockDescription__" hidden="1">"ENCODE_"</definedName>
    <definedName name="__LockFormula__" hidden="1">"ENCODE_"</definedName>
    <definedName name="__m7" hidden="1">#N/A</definedName>
    <definedName name="__N1" hidden="1">#REF!</definedName>
    <definedName name="__N55" hidden="1">#REF!</definedName>
    <definedName name="__N7" hidden="1">#REF!</definedName>
    <definedName name="__new100" hidden="1">#REF!</definedName>
    <definedName name="__new101" hidden="1">#REF!</definedName>
    <definedName name="__new102" hidden="1">#REF!</definedName>
    <definedName name="__new103" hidden="1">#REF!</definedName>
    <definedName name="__new104" hidden="1">#REF!</definedName>
    <definedName name="__new105" hidden="1">#REF!</definedName>
    <definedName name="__new106" hidden="1">#REF!</definedName>
    <definedName name="__new107" hidden="1">#REF!</definedName>
    <definedName name="__new108" hidden="1">#REF!</definedName>
    <definedName name="__new109" hidden="1">#REF!</definedName>
    <definedName name="__new110" hidden="1">#REF!</definedName>
    <definedName name="__new111" hidden="1">#REF!</definedName>
    <definedName name="__new22" hidden="1">#REF!</definedName>
    <definedName name="__new23" hidden="1">#REF!</definedName>
    <definedName name="__new24" hidden="1">#REF!</definedName>
    <definedName name="__new25" hidden="1">#REF!</definedName>
    <definedName name="__new26" hidden="1">#REF!</definedName>
    <definedName name="__new27" hidden="1">#REF!</definedName>
    <definedName name="__new28" hidden="1">#REF!</definedName>
    <definedName name="__new29" hidden="1">#REF!</definedName>
    <definedName name="__new30" hidden="1">#REF!</definedName>
    <definedName name="__new31" hidden="1">#REF!</definedName>
    <definedName name="__new32" hidden="1">#REF!</definedName>
    <definedName name="__new33" hidden="1">#REF!</definedName>
    <definedName name="__new34" hidden="1">#REF!</definedName>
    <definedName name="__new35" hidden="1">#REF!</definedName>
    <definedName name="__new36" hidden="1">#REF!</definedName>
    <definedName name="__new37" hidden="1">#REF!</definedName>
    <definedName name="__new38" hidden="1">#REF!</definedName>
    <definedName name="__new39" hidden="1">#REF!</definedName>
    <definedName name="__new40" hidden="1">#REF!</definedName>
    <definedName name="__new41" hidden="1">#REF!</definedName>
    <definedName name="__new42" hidden="1">#REF!</definedName>
    <definedName name="__new43" hidden="1">#REF!</definedName>
    <definedName name="__new44" hidden="1">#REF!</definedName>
    <definedName name="__new45" hidden="1">#REF!</definedName>
    <definedName name="__new46" hidden="1">#REF!</definedName>
    <definedName name="__new47" hidden="1">#REF!</definedName>
    <definedName name="__new48" hidden="1">#REF!</definedName>
    <definedName name="__new49" hidden="1">#REF!</definedName>
    <definedName name="__new50" hidden="1">#REF!</definedName>
    <definedName name="__new51" hidden="1">#REF!</definedName>
    <definedName name="__new52" hidden="1">#REF!</definedName>
    <definedName name="__new53" hidden="1">#REF!</definedName>
    <definedName name="__new54" hidden="1">#REF!</definedName>
    <definedName name="__new55" hidden="1">#REF!</definedName>
    <definedName name="__new56" hidden="1">#REF!</definedName>
    <definedName name="__new57" hidden="1">#REF!</definedName>
    <definedName name="__new58" hidden="1">#REF!</definedName>
    <definedName name="__new59" hidden="1">#REF!</definedName>
    <definedName name="__new60" hidden="1">#REF!</definedName>
    <definedName name="__new61" hidden="1">#REF!</definedName>
    <definedName name="__new62" hidden="1">#REF!</definedName>
    <definedName name="__new63" hidden="1">#REF!</definedName>
    <definedName name="__new64" hidden="1">#REF!</definedName>
    <definedName name="__new65" hidden="1">#REF!</definedName>
    <definedName name="__new66" hidden="1">#REF!</definedName>
    <definedName name="__new67" hidden="1">#REF!</definedName>
    <definedName name="__new68" hidden="1">#REF!</definedName>
    <definedName name="__new69" hidden="1">#REF!</definedName>
    <definedName name="__new70" hidden="1">#REF!</definedName>
    <definedName name="__new71" hidden="1">#REF!</definedName>
    <definedName name="__new72" hidden="1">#REF!</definedName>
    <definedName name="__new73" hidden="1">#REF!</definedName>
    <definedName name="__new74" hidden="1">#REF!</definedName>
    <definedName name="__new75" hidden="1">#REF!</definedName>
    <definedName name="__new76" hidden="1">#REF!</definedName>
    <definedName name="__new77" hidden="1">#REF!</definedName>
    <definedName name="__new78" hidden="1">#REF!</definedName>
    <definedName name="__new79" hidden="1">#REF!</definedName>
    <definedName name="__new80" hidden="1">#REF!</definedName>
    <definedName name="__new81" hidden="1">#REF!</definedName>
    <definedName name="__new82" hidden="1">#REF!</definedName>
    <definedName name="__new83" hidden="1">#REF!</definedName>
    <definedName name="__new84" hidden="1">#REF!</definedName>
    <definedName name="__new85" hidden="1">#REF!</definedName>
    <definedName name="__new86" hidden="1">#REF!</definedName>
    <definedName name="__new87" hidden="1">#REF!</definedName>
    <definedName name="__new88" hidden="1">#REF!</definedName>
    <definedName name="__new89" hidden="1">#REF!</definedName>
    <definedName name="__new90" hidden="1">#REF!</definedName>
    <definedName name="__new91" hidden="1">#REF!</definedName>
    <definedName name="__new92" hidden="1">#REF!</definedName>
    <definedName name="__new93" hidden="1">#REF!</definedName>
    <definedName name="__new94" hidden="1">#REF!</definedName>
    <definedName name="__new95" hidden="1">#REF!</definedName>
    <definedName name="__new96" hidden="1">#REF!</definedName>
    <definedName name="__new97" hidden="1">#REF!</definedName>
    <definedName name="__new98" hidden="1">#REF!</definedName>
    <definedName name="__new99" hidden="1">#REF!</definedName>
    <definedName name="__oo1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oo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P100" localSheetId="0" hidden="1">{#N/A,#N/A,FALSE,"²Ä1­Ó¤ë"}</definedName>
    <definedName name="__P100" hidden="1">{#N/A,#N/A,FALSE,"²Ä1­Ó¤ë"}</definedName>
    <definedName name="__P200" localSheetId="0" hidden="1">{#N/A,#N/A,FALSE,"YTCHAN";#N/A,#N/A,FALSE,"TOMMY";#N/A,#N/A,FALSE,"REP.OFFICE";#N/A,#N/A,FALSE,"E&amp;Y_CONSULTANT";#N/A,#N/A,FALSE,"BT &amp; CIT"}</definedName>
    <definedName name="__P200" hidden="1">{#N/A,#N/A,FALSE,"YTCHAN";#N/A,#N/A,FALSE,"TOMMY";#N/A,#N/A,FALSE,"REP.OFFICE";#N/A,#N/A,FALSE,"E&amp;Y_CONSULTANT";#N/A,#N/A,FALSE,"BT &amp; CIT"}</definedName>
    <definedName name="__P3" hidden="1">15</definedName>
    <definedName name="__P300" localSheetId="0" hidden="1">{#N/A,#N/A,FALSE,"资产负债表";#N/A,#N/A,FALSE,"资产负债表"}</definedName>
    <definedName name="__P300" hidden="1">{#N/A,#N/A,FALSE,"资产负债表";#N/A,#N/A,FALSE,"资产负债表"}</definedName>
    <definedName name="__P400" localSheetId="0" hidden="1">{#N/A,#N/A,FALSE,"FREEMAN";#N/A,#N/A,FALSE,"STEPHEN";#N/A,#N/A,FALSE,"VICTOR"}</definedName>
    <definedName name="__P400" hidden="1">{#N/A,#N/A,FALSE,"FREEMAN";#N/A,#N/A,FALSE,"STEPHEN";#N/A,#N/A,FALSE,"VICTOR"}</definedName>
    <definedName name="__PPE2" hidden="1">#REF!</definedName>
    <definedName name="__Q1" localSheetId="0" hidden="1">{"'Standalone List Price Trends'!$A$1:$X$56"}</definedName>
    <definedName name="__Q1" hidden="1">{"'Standalone List Price Trends'!$A$1:$X$56"}</definedName>
    <definedName name="__Q2" localSheetId="0" hidden="1">{"'Standalone List Price Trends'!$A$1:$X$56"}</definedName>
    <definedName name="__Q2" hidden="1">{"'Standalone List Price Trends'!$A$1:$X$56"}</definedName>
    <definedName name="__q234" hidden="1">#REF!</definedName>
    <definedName name="__Q3" localSheetId="0" hidden="1">{"'Standalone List Price Trends'!$A$1:$X$56"}</definedName>
    <definedName name="__Q3" hidden="1">{"'Standalone List Price Trends'!$A$1:$X$56"}</definedName>
    <definedName name="__Q4" localSheetId="0" hidden="1">{"'Standalone List Price Trends'!$A$1:$X$56"}</definedName>
    <definedName name="__Q4" hidden="1">{"'Standalone List Price Trends'!$A$1:$X$56"}</definedName>
    <definedName name="__Q5" localSheetId="0" hidden="1">{"'Standalone List Price Trends'!$A$1:$X$56"}</definedName>
    <definedName name="__Q5" hidden="1">{"'Standalone List Price Trends'!$A$1:$X$56"}</definedName>
    <definedName name="__Q9" localSheetId="0" hidden="1">{"'Standalone List Price Trends'!$A$1:$X$56"}</definedName>
    <definedName name="__Q9" hidden="1">{"'Standalone List Price Trends'!$A$1:$X$56"}</definedName>
    <definedName name="__qq1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qq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r" localSheetId="0" hidden="1">{"consolidated",#N/A,FALSE,"Sheet1";"cms",#N/A,FALSE,"Sheet1";"fse",#N/A,FALSE,"Sheet1"}</definedName>
    <definedName name="__r" hidden="1">{"consolidated",#N/A,FALSE,"Sheet1";"cms",#N/A,FALSE,"Sheet1";"fse",#N/A,FALSE,"Sheet1"}</definedName>
    <definedName name="__rev2" localSheetId="0" hidden="1">{"'Eng (page2)'!$A$1:$D$52"}</definedName>
    <definedName name="__rev2" hidden="1">{"'Eng (page2)'!$A$1:$D$52"}</definedName>
    <definedName name="__RoundBit__" hidden="1">"ENCODE_"</definedName>
    <definedName name="__RptBeginDate__" hidden="1">"ENCODE_"</definedName>
    <definedName name="__RptCurrency__" hidden="1">"ENCODE_"</definedName>
    <definedName name="__RptEndDate__" hidden="1">"ENCODE_"</definedName>
    <definedName name="__RptEndPeriod__" hidden="1">"ENCODE_MQAwAA=="</definedName>
    <definedName name="__RptEndPeriod___1" hidden="1">"ENCODE_MQAxAA=="</definedName>
    <definedName name="__RptEndPeriod___2" hidden="1">"ENCODE_MgA="</definedName>
    <definedName name="__RptGroupCurrency__" hidden="1">"ENCODE_"</definedName>
    <definedName name="__RptPeriod__" hidden="1">"ENCODE_MQAwAA=="</definedName>
    <definedName name="__RptPeriod___1" hidden="1">"ENCODE_MQAxAA=="</definedName>
    <definedName name="__RptPeriod___2" hidden="1">"ENCODE_MgA="</definedName>
    <definedName name="__RptYear__" hidden="1">"ENCODE_MgAwADAANgA="</definedName>
    <definedName name="__RptYear___1" hidden="1">"ENCODE_MgAwADAANwA="</definedName>
    <definedName name="__rw1" localSheetId="0" hidden="1">{"'Standalone List Price Trends'!$A$1:$X$56"}</definedName>
    <definedName name="__rw1" hidden="1">{"'Standalone List Price Trends'!$A$1:$X$56"}</definedName>
    <definedName name="__rw2" localSheetId="0" hidden="1">{"'Standalone List Price Trends'!$A$1:$X$56"}</definedName>
    <definedName name="__rw2" hidden="1">{"'Standalone List Price Trends'!$A$1:$X$56"}</definedName>
    <definedName name="__rw3" localSheetId="0" hidden="1">{"'Standalone List Price Trends'!$A$1:$X$56"}</definedName>
    <definedName name="__rw3" hidden="1">{"'Standalone List Price Trends'!$A$1:$X$56"}</definedName>
    <definedName name="__rw4" localSheetId="0" hidden="1">{"'Standalone List Price Trends'!$A$1:$X$56"}</definedName>
    <definedName name="__rw4" hidden="1">{"'Standalone List Price Trends'!$A$1:$X$56"}</definedName>
    <definedName name="__s1" hidden="1">#REF!</definedName>
    <definedName name="__s2" hidden="1">#REF!</definedName>
    <definedName name="__s3" hidden="1">#REF!</definedName>
    <definedName name="__s4" hidden="1">#REF!</definedName>
    <definedName name="__s5" hidden="1">#REF!</definedName>
    <definedName name="__s6" hidden="1">#REF!</definedName>
    <definedName name="__SelfDsn__" hidden="1">"ENCODE_"</definedName>
    <definedName name="__SSS1" hidden="1">#REF!</definedName>
    <definedName name="__T123456" localSheetId="0" hidden="1">{"COUNT",#N/A,FALSE,"AB"}</definedName>
    <definedName name="__T123456" hidden="1">{"COUNT",#N/A,FALSE,"AB"}</definedName>
    <definedName name="__T12347" localSheetId="0" hidden="1">{"COUNT",#N/A,FALSE,"AB"}</definedName>
    <definedName name="__T12347" hidden="1">{"COUNT",#N/A,FALSE,"AB"}</definedName>
    <definedName name="__u1" localSheetId="0" hidden="1">{"capacity",#N/A,FALSE,"Hefei";"Volume",#N/A,FALSE,"Hefei"}</definedName>
    <definedName name="__u1" hidden="1">{"capacity",#N/A,FALSE,"Hefei";"Volume",#N/A,FALSE,"Hefei"}</definedName>
    <definedName name="__u1001" localSheetId="0" hidden="1">{"capacity",#N/A,FALSE,"Hefei";"Volume",#N/A,FALSE,"Hefei"}</definedName>
    <definedName name="__u1001" hidden="1">{"capacity",#N/A,FALSE,"Hefei";"Volume",#N/A,FALSE,"Hefei"}</definedName>
    <definedName name="__VBA__1" hidden="1">"ENCODE_"</definedName>
    <definedName name="__vin1" hidden="1">#REF!</definedName>
    <definedName name="__w1" localSheetId="0" hidden="1">{"PVGraph2",#N/A,FALSE,"PV Data"}</definedName>
    <definedName name="__w1" hidden="1">{#N/A,#N/A,FALSE,"DIR-REP";#N/A,#N/A,FALSE,"AUD-REPORT";#N/A,#N/A,FALSE,"P7L&amp;BS";#N/A,#N/A,FALSE,"NOTES";#N/A,#N/A,FALSE,"FA";#N/A,#N/A,FALSE,"NOTES (2)";#N/A,#N/A,FALSE,"Schedule  IV";#N/A,#N/A,FALSE,"Schedule V"}</definedName>
    <definedName name="__w11" localSheetId="0" hidden="1">{"PVGraph2",#N/A,FALSE,"PV Data"}</definedName>
    <definedName name="__w11" hidden="1">{"PVGraph2",#N/A,FALSE,"PV Data"}</definedName>
    <definedName name="__w112" localSheetId="0" hidden="1">{"PVGraph2",#N/A,FALSE,"PV Data"}</definedName>
    <definedName name="__w112" hidden="1">{"PVGraph2",#N/A,FALSE,"PV Data"}</definedName>
    <definedName name="__w1121" localSheetId="0" hidden="1">{"PVGraph2",#N/A,FALSE,"PV Data"}</definedName>
    <definedName name="__w1121" hidden="1">{"PVGraph2",#N/A,FALSE,"PV Data"}</definedName>
    <definedName name="__w12" localSheetId="0" hidden="1">{"PVGraph2",#N/A,FALSE,"PV Data"}</definedName>
    <definedName name="__w12" hidden="1">{"PVGraph2",#N/A,FALSE,"PV Data"}</definedName>
    <definedName name="__w121" localSheetId="0" hidden="1">{"PVGraph2",#N/A,FALSE,"PV Data"}</definedName>
    <definedName name="__w121" hidden="1">{"PVGraph2",#N/A,FALSE,"PV Data"}</definedName>
    <definedName name="__w12345" localSheetId="0" hidden="1">{"PVGraph2",#N/A,FALSE,"PV Data"}</definedName>
    <definedName name="__w12345" hidden="1">{"PVGraph2",#N/A,FALSE,"PV Data"}</definedName>
    <definedName name="__w13" localSheetId="0" hidden="1">{"PVGraph2",#N/A,FALSE,"PV Data"}</definedName>
    <definedName name="__w13" hidden="1">{"PVGraph2",#N/A,FALSE,"PV Data"}</definedName>
    <definedName name="__w2" localSheetId="0" hidden="1">{"PVGraph2",#N/A,FALSE,"PV Data"}</definedName>
    <definedName name="__w2" hidden="1">{"PVGraph2",#N/A,FALSE,"PV Data"}</definedName>
    <definedName name="__w3" localSheetId="0" hidden="1">{"PVGraph2",#N/A,FALSE,"PV Data"}</definedName>
    <definedName name="__w3" hidden="1">{"PVGraph2",#N/A,FALSE,"PV Data"}</definedName>
    <definedName name="__W37" localSheetId="0" hidden="1">{#N/A,#N/A,FALSE,"Eff-SSC2"}</definedName>
    <definedName name="__W37" hidden="1">{#N/A,#N/A,FALSE,"Eff-SSC2"}</definedName>
    <definedName name="__W38" localSheetId="0" hidden="1">{#N/A,#N/A,FALSE,"Eff-SSC2"}</definedName>
    <definedName name="__W38" hidden="1">{#N/A,#N/A,FALSE,"Eff-SSC2"}</definedName>
    <definedName name="__w39" localSheetId="0" hidden="1">{#N/A,#N/A,FALSE,"Eff-SSC2"}</definedName>
    <definedName name="__w39" hidden="1">{#N/A,#N/A,FALSE,"Eff-SSC2"}</definedName>
    <definedName name="__w45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w4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w9" localSheetId="0" hidden="1">{"PVGraph2",#N/A,FALSE,"PV Data"}</definedName>
    <definedName name="__w9" hidden="1">{"PVGraph2",#N/A,FALSE,"PV Data"}</definedName>
    <definedName name="__wrn1" localSheetId="0" hidden="1">{"Annual",#N/A,FALSE,"Sales &amp; Market";"Quarterly",#N/A,FALSE,"Sales &amp; Market"}</definedName>
    <definedName name="__wrn1" hidden="1">{"Annual",#N/A,FALSE,"Sales &amp; Market";"Quarterly",#N/A,FALSE,"Sales &amp; Market"}</definedName>
    <definedName name="__wrn2" localSheetId="0" hidden="1">{#N/A,#N/A,FALSE,"Virgin Flightdeck"}</definedName>
    <definedName name="__wrn2" hidden="1">{"client cfbs",#N/A,FALSE,"Client"}</definedName>
    <definedName name="__wrn3" localSheetId="0" hidden="1">{#N/A,#N/A,FALSE,"Virgin Flightdeck"}</definedName>
    <definedName name="__wrn3" hidden="1">{"client is",#N/A,FALSE,"Client"}</definedName>
    <definedName name="__wrn4" localSheetId="0" hidden="1">{#N/A,#N/A,FALSE,"Virgin Flightdeck"}</definedName>
    <definedName name="__wrn4" hidden="1">{"client stats",#N/A,FALSE,"Client"}</definedName>
    <definedName name="__wrn5" localSheetId="0" hidden="1">{"internal is",#N/A,FALSE,"Model"}</definedName>
    <definedName name="__wrn5" hidden="1">{"internal is",#N/A,FALSE,"Model"}</definedName>
    <definedName name="__wrn6" localSheetId="0" hidden="1">{"portrait letter is",#N/A,FALSE,"Model"}</definedName>
    <definedName name="__wrn6" hidden="1">{"portrait letter is",#N/A,FALSE,"Model"}</definedName>
    <definedName name="__wrn7" localSheetId="0" hidden="1">{#N/A,#N/A,FALSE,"Financial";#N/A,#N/A,FALSE,"Balance Sheet";#N/A,#N/A,FALSE,"Income stmt";#N/A,#N/A,FALSE,"Ratio"}</definedName>
    <definedName name="__wrn7" hidden="1">{#N/A,#N/A,FALSE,"Financial";#N/A,#N/A,FALSE,"Balance Sheet";#N/A,#N/A,FALSE,"Income stmt";#N/A,#N/A,FALSE,"Ratio"}</definedName>
    <definedName name="__wt7" localSheetId="0" hidden="1">{#N/A,#N/A,FALSE,"Brasil";#N/A,#N/A,FALSE,"Brasil"}</definedName>
    <definedName name="__wt7" hidden="1">{#N/A,#N/A,FALSE,"Brasil";#N/A,#N/A,FALSE,"Brasil"}</definedName>
    <definedName name="__x2" localSheetId="0" hidden="1">{"PVGraph2",#N/A,FALSE,"PV Data"}</definedName>
    <definedName name="__x2" hidden="1">{"PVGraph2",#N/A,FALSE,"PV Data"}</definedName>
    <definedName name="__y2" localSheetId="0" hidden="1">{"PVGraph2",#N/A,FALSE,"PV Data"}</definedName>
    <definedName name="__y2" hidden="1">{"PVGraph2",#N/A,FALSE,"PV Data"}</definedName>
    <definedName name="__y22" localSheetId="0" hidden="1">{"PVGraph2",#N/A,FALSE,"PV Data"}</definedName>
    <definedName name="__y22" hidden="1">{"PVGraph2",#N/A,FALSE,"PV Data"}</definedName>
    <definedName name="__Y5" localSheetId="0" hidden="1">{#N/A,#N/A,FALSE,"970301";#N/A,#N/A,FALSE,"970302";#N/A,#N/A,FALSE,"970303";#N/A,#N/A,FALSE,"970304";#N/A,#N/A,FALSE,"COM1";#N/A,#N/A,FALSE,"COM2"}</definedName>
    <definedName name="__Y5" hidden="1">{#N/A,#N/A,FALSE,"970301";#N/A,#N/A,FALSE,"970302";#N/A,#N/A,FALSE,"970303";#N/A,#N/A,FALSE,"970304";#N/A,#N/A,FALSE,"COM1";#N/A,#N/A,FALSE,"COM2"}</definedName>
    <definedName name="_1__123Graph_A_Chart_1A" hidden="1">#REF!</definedName>
    <definedName name="_1__123Graph_ACHART_1" localSheetId="0" hidden="1">#REF!</definedName>
    <definedName name="_1__123Graph_ACHART_1" hidden="1">#REF!</definedName>
    <definedName name="_1__123Graph_ACHART_12" hidden="1">#REF!</definedName>
    <definedName name="_1__123Graph_ACHART_15" hidden="1">#REF!</definedName>
    <definedName name="_1__123Graph_ALIQUIDS" hidden="1">#REF!</definedName>
    <definedName name="_1__123Graph_ATEILM_RKTE" hidden="1">#REF!</definedName>
    <definedName name="_1__FDSAUDITLINK__" localSheetId="0" hidden="1">{"fdsup://Directions/FactSet Auditing Viewer?action=AUDIT_VALUE&amp;DB=129&amp;ID1=692737&amp;VALUEID=04601&amp;SDATE=2009&amp;PERIODTYPE=ANN_STD&amp;window=popup_no_bar&amp;width=385&amp;height=120&amp;START_MAXIMIZED=FALSE&amp;creator=factset&amp;display_string=Audit"}</definedName>
    <definedName name="_1__FDSAUDITLINK__" hidden="1">{"fdsup://IBCentral/FAT Viewer?action=UPDATE&amp;creator=factset&amp;DOC_NAME=fat:reuters_annual_pshs_src_window.fat&amp;display_string=Audit&amp;DYN_ARGS=TRUE&amp;VAR:ID1=B450Z4&amp;VAR:RCODE=FDSEPS&amp;VAR:SDATE=0&amp;VAR:FREQ=Y&amp;VAR:RELITEM=RP&amp;VAR:CURRENCY=&amp;VAR:CURRSOURCE=EXSHARE&amp;VAR:NA","TFREQ=ANNUAL&amp;VAR:RFIELD=FINALIZED&amp;VAR:DB_TYPE=&amp;VAR:UNITS=M&amp;window=popup&amp;width=450&amp;height=300&amp;START_MAXIMIZED=FALSE"}</definedName>
    <definedName name="_10___123Graph_XTEILM_RKTE2" hidden="1">#REF!</definedName>
    <definedName name="_10__123Graph_ACHART_20" hidden="1">#REF!</definedName>
    <definedName name="_10__123Graph_BCHART_12" hidden="1">#REF!</definedName>
    <definedName name="_10__123Graph_BCHART_18" hidden="1">#REF!</definedName>
    <definedName name="_10__123Graph_BCHART_8" hidden="1">#REF!</definedName>
    <definedName name="_10__123Graph_CCHART_3" hidden="1">#REF!</definedName>
    <definedName name="_10__123Graph_D_Chart_1A" hidden="1">#REF!</definedName>
    <definedName name="_10__123Graph_XTEILM_RKTE2" hidden="1">#REF!</definedName>
    <definedName name="_10__FDSAUDITLINK__" localSheetId="0" hidden="1">{"fdsup://IBCentral/FAT Viewer?action=UPDATE&amp;creator=factset&amp;DOC_NAME=fat:reuters_qtrly_source_window.fat&amp;display_string=Audit&amp;DYN_ARGS=TRUE&amp;VAR:ID1=692737&amp;VAR:RCODE=FDSPFDSTKTOTAL&amp;VAR:SDATE=20100999&amp;VAR:FREQ=Quarterly&amp;VAR:RELITEM=RP&amp;VAR:CURRENCY=SGD&amp;VAR:CU","RRSOURCE=EXSHARE&amp;VAR:NATFREQ=QUARTERLY&amp;VAR:RFIELD=FINALIZED&amp;VAR:DB_TYPE=&amp;VAR:UNITS=M&amp;window=popup&amp;width=450&amp;height=300&amp;START_MAXIMIZED=FALSE"}</definedName>
    <definedName name="_10__FDSAUDITLINK__" hidden="1">{"fdsup://directions/FAT Viewer?action=UPDATE&amp;creator=factset&amp;DYN_ARGS=TRUE&amp;DOC_NAME=FAT:FQL_AUDITING_CLIENT_TEMPLATE.FAT&amp;display_string=Audit&amp;VAR:KEY=KLEJEPUDGL&amp;VAR:QUERY=RkZfRUJJVERBX09QRVJfTUdOKEFOTiwyMDA5LCwsLFVTRCk=&amp;WINDOW=FIRST_POPUP&amp;HEIGHT=450&amp;WIDTH=","450&amp;START_MAXIMIZED=FALSE&amp;VAR:CALENDAR=FIVEDAY&amp;VAR:SYMBOL=B1H11J&amp;VAR:INDEX=0"}</definedName>
    <definedName name="_10_0__123Graph_ACHAR" hidden="1">#REF!</definedName>
    <definedName name="_10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152"}</definedName>
    <definedName name="_100__FDSAUDITLINK__" hidden="1">{"fdsup://directions/FAT Viewer?action=UPDATE&amp;creator=factset&amp;DYN_ARGS=TRUE&amp;DOC_NAME=FAT:FQL_AUDITING_CLIENT_TEMPLATE.FAT&amp;display_string=Audit&amp;VAR:KEY=AZQNKPYBUT&amp;VAR:QUERY=RkZfRU5UUlBSX1ZBTF9FQklUREFfT1BFUihBTk4sMjAwOSwsLCxVU0Qp&amp;WINDOW=FIRST_POPUP&amp;HEIGHT=45","0&amp;WIDTH=450&amp;START_MAXIMIZED=FALSE&amp;VAR:CALENDAR=FIVEDAY&amp;VAR:SYMBOL=B599D1&amp;VAR:INDEX=0"}</definedName>
    <definedName name="_100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"}</definedName>
    <definedName name="_100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"}</definedName>
    <definedName name="_100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"}</definedName>
    <definedName name="_100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"}</definedName>
    <definedName name="_100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"}</definedName>
    <definedName name="_100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"}</definedName>
    <definedName name="_100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0"}</definedName>
    <definedName name="_100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0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151"}</definedName>
    <definedName name="_101__FDSAUDITLINK__" hidden="1">{"fdsup://directions/FAT Viewer?action=UPDATE&amp;creator=factset&amp;DYN_ARGS=TRUE&amp;DOC_NAME=FAT:FQL_AUDITING_CLIENT_TEMPLATE.FAT&amp;display_string=Audit&amp;VAR:KEY=MFOVSVEHIZ&amp;VAR:QUERY=RkZfRU5UUlBSX1ZBTF9FQklUREFfT1BFUihBTk4sMjAxMCwsLCxVU0Qp&amp;WINDOW=FIRST_POPUP&amp;HEIGHT=45","0&amp;WIDTH=450&amp;START_MAXIMIZED=FALSE&amp;VAR:CALENDAR=FIVEDAY&amp;VAR:SYMBOL=B58MYJ&amp;VAR:INDEX=0"}</definedName>
    <definedName name="_101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1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150"}</definedName>
    <definedName name="_102__FDSAUDITLINK__" hidden="1">{"fdsup://directions/FAT Viewer?action=UPDATE&amp;creator=factset&amp;DYN_ARGS=TRUE&amp;DOC_NAME=FAT:FQL_AUDITING_CLIENT_TEMPLATE.FAT&amp;display_string=Audit&amp;VAR:KEY=UXSFOJWTSP&amp;VAR:QUERY=RkZfRU5UUlBSX1ZBTF9FQklUREFfT1BFUihBTk4sMjAwOSwsLCxVU0Qp&amp;WINDOW=FIRST_POPUP&amp;HEIGHT=45","0&amp;WIDTH=450&amp;START_MAXIMIZED=FALSE&amp;VAR:CALENDAR=FIVEDAY&amp;VAR:SYMBOL=B58MYJ&amp;VAR:INDEX=0"}</definedName>
    <definedName name="_102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2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149"}</definedName>
    <definedName name="_103__FDSAUDITLINK__" hidden="1">{"fdsup://directions/FAT Viewer?action=UPDATE&amp;creator=factset&amp;DYN_ARGS=TRUE&amp;DOC_NAME=FAT:FQL_AUDITING_CLIENT_TEMPLATE.FAT&amp;display_string=Audit&amp;VAR:KEY=OVCHSRKLKT&amp;VAR:QUERY=RkZfRU5UUlBSX1ZBTF9FQklUREFfT1BFUihBTk4sMjAxMCwsLCxVU0Qp&amp;WINDOW=FIRST_POPUP&amp;HEIGHT=45","0&amp;WIDTH=450&amp;START_MAXIMIZED=FALSE&amp;VAR:CALENDAR=FIVEDAY&amp;VAR:SYMBOL=B1VZKH&amp;VAR:INDEX=0"}</definedName>
    <definedName name="_103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3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148"}</definedName>
    <definedName name="_104__FDSAUDITLINK__" hidden="1">{"fdsup://directions/FAT Viewer?action=UPDATE&amp;creator=factset&amp;DYN_ARGS=TRUE&amp;DOC_NAME=FAT:FQL_AUDITING_CLIENT_TEMPLATE.FAT&amp;display_string=Audit&amp;VAR:KEY=MNEDSBKTQZ&amp;VAR:QUERY=RkZfRU5UUlBSX1ZBTF9FQklUREFfT1BFUihBTk4sMjAwOSwsLCxVU0Qp&amp;WINDOW=FIRST_POPUP&amp;HEIGHT=45","0&amp;WIDTH=450&amp;START_MAXIMIZED=FALSE&amp;VAR:CALENDAR=FIVEDAY&amp;VAR:SYMBOL=B1VZKH&amp;VAR:INDEX=0"}</definedName>
    <definedName name="_104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1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2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3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4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5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4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147"}</definedName>
    <definedName name="_105__FDSAUDITLINK__" hidden="1">{"fdsup://directions/FAT Viewer?action=UPDATE&amp;creator=factset&amp;DYN_ARGS=TRUE&amp;DOC_NAME=FAT:FQL_AUDITING_CLIENT_TEMPLATE.FAT&amp;display_string=Audit&amp;VAR:KEY=UDINOJQJQB&amp;VAR:QUERY=RkZfRU5UUlBSX1ZBTF9FQklUREFfT1BFUihBTk4sMjAxMCwsLCxVU0Qp&amp;WINDOW=FIRST_POPUP&amp;HEIGHT=45","0&amp;WIDTH=450&amp;START_MAXIMIZED=FALSE&amp;VAR:CALENDAR=FIVEDAY&amp;VAR:SYMBOL=B0D5V5&amp;VAR:INDEX=0"}</definedName>
    <definedName name="_105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1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2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3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4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5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5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146"}</definedName>
    <definedName name="_106__FDSAUDITLINK__" hidden="1">{"fdsup://directions/FAT Viewer?action=UPDATE&amp;creator=factset&amp;DYN_ARGS=TRUE&amp;DOC_NAME=FAT:FQL_AUDITING_CLIENT_TEMPLATE.FAT&amp;display_string=Audit&amp;VAR:KEY=WLUPEJGBSD&amp;VAR:QUERY=RkZfRU5UUlBSX1ZBTF9FQklUREFfT1BFUihBTk4sMjAwOSwsLCxVU0Qp&amp;WINDOW=FIRST_POPUP&amp;HEIGHT=45","0&amp;WIDTH=450&amp;START_MAXIMIZED=FALSE&amp;VAR:CALENDAR=FIVEDAY&amp;VAR:SYMBOL=B0D5V5&amp;VAR:INDEX=0"}</definedName>
    <definedName name="_106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6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145"}</definedName>
    <definedName name="_107__FDSAUDITLINK__" hidden="1">{"fdsup://directions/FAT Viewer?action=UPDATE&amp;creator=factset&amp;DYN_ARGS=TRUE&amp;DOC_NAME=FAT:FQL_AUDITING_CLIENT_TEMPLATE.FAT&amp;display_string=Audit&amp;VAR:KEY=STWHGTAPYD&amp;VAR:QUERY=RkZfRU5UUlBSX1ZBTF9FQklUREFfT1BFUihBTk4sMjAxMCwsLCxVU0Qp&amp;WINDOW=FIRST_POPUP&amp;HEIGHT=45","0&amp;WIDTH=450&amp;START_MAXIMIZED=FALSE&amp;VAR:CALENDAR=FIVEDAY&amp;VAR:SYMBOL=B1J1MT&amp;VAR:INDEX=0"}</definedName>
    <definedName name="_107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7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144"}</definedName>
    <definedName name="_108__FDSAUDITLINK__" hidden="1">{"fdsup://directions/FAT Viewer?action=UPDATE&amp;creator=factset&amp;DYN_ARGS=TRUE&amp;DOC_NAME=FAT:FQL_AUDITING_CLIENT_TEMPLATE.FAT&amp;display_string=Audit&amp;VAR:KEY=YDGPCREBGV&amp;VAR:QUERY=RkZfRU5UUlBSX1ZBTF9FQklUREFfT1BFUihBTk4sMjAwOSwsLCxVU0Qp&amp;WINDOW=FIRST_POPUP&amp;HEIGHT=45","0&amp;WIDTH=450&amp;START_MAXIMIZED=FALSE&amp;VAR:CALENDAR=FIVEDAY&amp;VAR:SYMBOL=B1J1MT&amp;VAR:INDEX=0"}</definedName>
    <definedName name="_108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8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143"}</definedName>
    <definedName name="_109__FDSAUDITLINK__" hidden="1">{"fdsup://directions/FAT Viewer?action=UPDATE&amp;creator=factset&amp;DYN_ARGS=TRUE&amp;DOC_NAME=FAT:FQL_AUDITING_CLIENT_TEMPLATE.FAT&amp;display_string=Audit&amp;VAR:KEY=WZCVSVKBSF&amp;VAR:QUERY=RkZfRU5UUlBSX1ZBTF9FQklUREFfT1BFUihBTk4sMjAxMCwsLCxVU0Qp&amp;WINDOW=FIRST_POPUP&amp;HEIGHT=45","0&amp;WIDTH=450&amp;START_MAXIMIZED=FALSE&amp;VAR:CALENDAR=FIVEDAY&amp;VAR:SYMBOL=769426&amp;VAR:INDEX=0"}</definedName>
    <definedName name="_109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1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2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3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4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5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9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0e12_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10e12_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10F2021_" localSheetId="0" hidden="1">{#N/A,#N/A,FALSE,"970301";#N/A,#N/A,FALSE,"970302";#N/A,#N/A,FALSE,"970303";#N/A,#N/A,FALSE,"970304";#N/A,#N/A,FALSE,"COM1";#N/A,#N/A,FALSE,"COM2"}</definedName>
    <definedName name="_10F2021_" hidden="1">{#N/A,#N/A,FALSE,"970301";#N/A,#N/A,FALSE,"970302";#N/A,#N/A,FALSE,"970303";#N/A,#N/A,FALSE,"970304";#N/A,#N/A,FALSE,"COM1";#N/A,#N/A,FALSE,"COM2"}</definedName>
    <definedName name="_11__123Graph_ACHART_3" hidden="1">#REF!</definedName>
    <definedName name="_11__123Graph_ATEILM_RKTE" hidden="1">#REF!</definedName>
    <definedName name="_11__123Graph_BCHART_13" hidden="1">#REF!</definedName>
    <definedName name="_11__123Graph_BCHART_31" hidden="1">#REF!</definedName>
    <definedName name="_11__123Graph_CCHART_1" hidden="1">#REF!</definedName>
    <definedName name="_11__123Graph_CCHART_8" hidden="1">#REF!</definedName>
    <definedName name="_11__123Graph_DCHART_1" hidden="1">#REF!</definedName>
    <definedName name="_11__123Graph_E_Chart_1A" hidden="1">#REF!</definedName>
    <definedName name="_11__FDSAUDITLINK__" localSheetId="0" hidden="1">{"fdsup://IBCentral/FAT Viewer?action=UPDATE&amp;creator=factset&amp;DOC_NAME=fat:reuters_qtrly_source_window.fat&amp;display_string=Audit&amp;DYN_ARGS=TRUE&amp;VAR:ID1=692737&amp;VAR:RCODE=LMIN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11__FDSAUDITLINK__" hidden="1">{"fdsup://directions/FAT Viewer?action=UPDATE&amp;creator=factset&amp;DYN_ARGS=TRUE&amp;DOC_NAME=FAT:FQL_AUDITING_CLIENT_TEMPLATE.FAT&amp;display_string=Audit&amp;VAR:KEY=GDINIBATWR&amp;VAR:QUERY=RkZfRUJJVERBX09QRVJfTUdOKEFOTiwyMDEwKQ==&amp;WINDOW=FIRST_POPUP&amp;HEIGHT=450&amp;WIDTH=450&amp;STAR","T_MAXIMIZED=FALSE&amp;VAR:CALENDAR=FIVEDAY&amp;VAR:SYMBOL=B599D1&amp;VAR:INDEX=0"}</definedName>
    <definedName name="_11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142"}</definedName>
    <definedName name="_110__FDSAUDITLINK__" hidden="1">{"fdsup://directions/FAT Viewer?action=UPDATE&amp;creator=factset&amp;DYN_ARGS=TRUE&amp;DOC_NAME=FAT:FQL_AUDITING_CLIENT_TEMPLATE.FAT&amp;display_string=Audit&amp;VAR:KEY=EXSLMFMTEH&amp;VAR:QUERY=RkZfRU5UUlBSX1ZBTF9FQklUREFfT1BFUihBTk4sMjAwOSwsLCxVU0Qp&amp;WINDOW=FIRST_POPUP&amp;HEIGHT=45","0&amp;WIDTH=450&amp;START_MAXIMIZED=FALSE&amp;VAR:CALENDAR=FIVEDAY&amp;VAR:SYMBOL=769426&amp;VAR:INDEX=0"}</definedName>
    <definedName name="_110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1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2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3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4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5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141"}</definedName>
    <definedName name="_111__FDSAUDITLINK__" hidden="1">{"fdsup://directions/FAT Viewer?action=UPDATE&amp;creator=factset&amp;DYN_ARGS=TRUE&amp;DOC_NAME=FAT:FQL_AUDITING_CLIENT_TEMPLATE.FAT&amp;display_string=Audit&amp;VAR:KEY=ADUHYPCTGH&amp;VAR:QUERY=RkZfRU5UUlBSX1ZBTF9FQklUX09QRVIoQU5OLDIwMTAsLCwsVVNEKQ==&amp;WINDOW=FIRST_POPUP&amp;HEIGHT=45","0&amp;WIDTH=450&amp;START_MAXIMIZED=FALSE&amp;VAR:CALENDAR=FIVEDAY&amp;VAR:SYMBOL=B5TWX8&amp;VAR:INDEX=0"}</definedName>
    <definedName name="_111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1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140"}</definedName>
    <definedName name="_112__FDSAUDITLINK__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140"}</definedName>
    <definedName name="_112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2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139"}</definedName>
    <definedName name="_113__FDSAUDITLINK__" hidden="1">{"fdsup://directions/FAT Viewer?action=UPDATE&amp;creator=factset&amp;DYN_ARGS=TRUE&amp;DOC_NAME=FAT:FQL_AUDITING_CLIENT_TEMPLATE.FAT&amp;display_string=Audit&amp;VAR:KEY=YNEJMZMXQB&amp;VAR:QUERY=RkZfRU5UUlBSX1ZBTF9FQklUX09QRVIoQU5OLDIwMTAsLCwsVVNEKQ==&amp;WINDOW=FIRST_POPUP&amp;HEIGHT=45","0&amp;WIDTH=450&amp;START_MAXIMIZED=FALSE&amp;VAR:CALENDAR=FIVEDAY&amp;VAR:SYMBOL=B59Q6G&amp;VAR:INDEX=0"}</definedName>
    <definedName name="_113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3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138"}</definedName>
    <definedName name="_114__FDSAUDITLINK__" hidden="1">{"fdsup://directions/FAT Viewer?action=UPDATE&amp;creator=factset&amp;DYN_ARGS=TRUE&amp;DOC_NAME=FAT:FQL_AUDITING_CLIENT_TEMPLATE.FAT&amp;display_string=Audit&amp;VAR:KEY=EZGXWNMRYT&amp;VAR:QUERY=RkZfRU5UUlBSX1ZBTF9FQklUX09QRVIoQU5OLDIwMDksLCwsVVNEKQ==&amp;WINDOW=FIRST_POPUP&amp;HEIGHT=45","0&amp;WIDTH=450&amp;START_MAXIMIZED=FALSE&amp;VAR:CALENDAR=FIVEDAY&amp;VAR:SYMBOL=B59Q6G&amp;VAR:INDEX=0"}</definedName>
    <definedName name="_114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1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2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3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4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5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4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137"}</definedName>
    <definedName name="_115__FDSAUDITLINK__" hidden="1">{"fdsup://directions/FAT Viewer?action=UPDATE&amp;creator=factset&amp;DYN_ARGS=TRUE&amp;DOC_NAME=FAT:FQL_AUDITING_CLIENT_TEMPLATE.FAT&amp;display_string=Audit&amp;VAR:KEY=YPAFEXIZAZ&amp;VAR:QUERY=RkZfRU5UUlBSX1ZBTF9FQklUX09QRVIoQU5OLDIwMTAsLCwsVVNEKQ==&amp;WINDOW=FIRST_POPUP&amp;HEIGHT=45","0&amp;WIDTH=450&amp;START_MAXIMIZED=FALSE&amp;VAR:CALENDAR=FIVEDAY&amp;VAR:SYMBOL=B59F84&amp;VAR:INDEX=0"}</definedName>
    <definedName name="_115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1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2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3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4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5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5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136"}</definedName>
    <definedName name="_116__FDSAUDITLINK__" hidden="1">{"fdsup://directions/FAT Viewer?action=UPDATE&amp;creator=factset&amp;DYN_ARGS=TRUE&amp;DOC_NAME=FAT:FQL_AUDITING_CLIENT_TEMPLATE.FAT&amp;display_string=Audit&amp;VAR:KEY=QHMLYHEFMX&amp;VAR:QUERY=RkZfRU5UUlBSX1ZBTF9FQklUX09QRVIoQU5OLDIwMDksLCwsVVNEKQ==&amp;WINDOW=FIRST_POPUP&amp;HEIGHT=45","0&amp;WIDTH=450&amp;START_MAXIMIZED=FALSE&amp;VAR:CALENDAR=FIVEDAY&amp;VAR:SYMBOL=B59F84&amp;VAR:INDEX=0"}</definedName>
    <definedName name="_116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6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135"}</definedName>
    <definedName name="_117__FDSAUDITLINK__" hidden="1">{"fdsup://directions/FAT Viewer?action=UPDATE&amp;creator=factset&amp;DYN_ARGS=TRUE&amp;DOC_NAME=FAT:FQL_AUDITING_CLIENT_TEMPLATE.FAT&amp;display_string=Audit&amp;VAR:KEY=GFOPMNQVMT&amp;VAR:QUERY=RkZfRU5UUlBSX1ZBTF9FQklUX09QRVIoQU5OLDIwMTAsLCwsVVNEKQ==&amp;WINDOW=FIRST_POPUP&amp;HEIGHT=45","0&amp;WIDTH=450&amp;START_MAXIMIZED=FALSE&amp;VAR:CALENDAR=FIVEDAY&amp;VAR:SYMBOL=B5B8GW&amp;VAR:INDEX=0"}</definedName>
    <definedName name="_117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7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134"}</definedName>
    <definedName name="_118__FDSAUDITLINK__" hidden="1">{"fdsup://directions/FAT Viewer?action=UPDATE&amp;creator=factset&amp;DYN_ARGS=TRUE&amp;DOC_NAME=FAT:FQL_AUDITING_CLIENT_TEMPLATE.FAT&amp;display_string=Audit&amp;VAR:KEY=EJQLUNSDOD&amp;VAR:QUERY=RkZfRU5UUlBSX1ZBTF9FQklUX09QRVIoQU5OLDIwMDksLCwsVVNEKQ==&amp;WINDOW=FIRST_POPUP&amp;HEIGHT=45","0&amp;WIDTH=450&amp;START_MAXIMIZED=FALSE&amp;VAR:CALENDAR=FIVEDAY&amp;VAR:SYMBOL=B5B8GW&amp;VAR:INDEX=0"}</definedName>
    <definedName name="_118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8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133"}</definedName>
    <definedName name="_119__FDSAUDITLINK__" hidden="1">{"fdsup://directions/FAT Viewer?action=UPDATE&amp;creator=factset&amp;DYN_ARGS=TRUE&amp;DOC_NAME=FAT:FQL_AUDITING_CLIENT_TEMPLATE.FAT&amp;display_string=Audit&amp;VAR:KEY=YTCTAZEREZ&amp;VAR:QUERY=RkZfRU5UUlBSX1ZBTF9FQklUX09QRVIoQU5OLDIwMTAsLCwsVVNEKQ==&amp;WINDOW=FIRST_POPUP&amp;HEIGHT=45","0&amp;WIDTH=450&amp;START_MAXIMIZED=FALSE&amp;VAR:CALENDAR=FIVEDAY&amp;VAR:SYMBOL=B1H11J&amp;VAR:INDEX=0"}</definedName>
    <definedName name="_119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1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2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3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4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5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9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1E350_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11E350_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12__123Graph_ACHART_5" hidden="1">#REF!</definedName>
    <definedName name="_12__123Graph_ATEILM_RKTE2" hidden="1">#REF!</definedName>
    <definedName name="_12__123Graph_BCHART_14" hidden="1">#REF!</definedName>
    <definedName name="_12__123Graph_BCHART_4" hidden="1">#REF!</definedName>
    <definedName name="_12__123Graph_CCHART_3" hidden="1">#REF!</definedName>
    <definedName name="_12__123Graph_DCHART_1" hidden="1">#REF!</definedName>
    <definedName name="_12__123Graph_ECHART_1" hidden="1">#REF!</definedName>
    <definedName name="_12__FDSAUDITLINK__" localSheetId="0" hidden="1">{"fdsup://IBCentral/FAT Viewer?action=UPDATE&amp;creator=factset&amp;DOC_NAME=fat:reuters_qtrly_source_window.fat&amp;display_string=Audit&amp;DYN_ARGS=TRUE&amp;VAR:ID1=692737&amp;VAR:RCODE=LMIN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12__FDSAUDITLINK__" hidden="1">{"fdsup://directions/FAT Viewer?action=UPDATE&amp;creator=factset&amp;DYN_ARGS=TRUE&amp;DOC_NAME=FAT:FQL_AUDITING_CLIENT_TEMPLATE.FAT&amp;display_string=Audit&amp;VAR:KEY=SFEPIZSNEB&amp;VAR:QUERY=RkZfRUJJVERBX09QRVJfTUdOKEFOTiwyMDA5LCwsLFVTRCk=&amp;WINDOW=FIRST_POPUP&amp;HEIGHT=450&amp;WIDTH=","450&amp;START_MAXIMIZED=FALSE&amp;VAR:CALENDAR=FIVEDAY&amp;VAR:SYMBOL=B599D1&amp;VAR:INDEX=0"}</definedName>
    <definedName name="_12_0__123Graph_BCHAR" hidden="1">#REF!</definedName>
    <definedName name="_12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132"}</definedName>
    <definedName name="_120__FDSAUDITLINK__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132"}</definedName>
    <definedName name="_120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1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2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3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4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5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0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131"}</definedName>
    <definedName name="_121__FDSAUDITLINK__" hidden="1">{"fdsup://directions/FAT Viewer?action=UPDATE&amp;creator=factset&amp;DYN_ARGS=TRUE&amp;DOC_NAME=FAT:FQL_AUDITING_CLIENT_TEMPLATE.FAT&amp;display_string=Audit&amp;VAR:KEY=QNIHGHWNIT&amp;VAR:QUERY=RkZfRU5UUlBSX1ZBTF9FQklUX09QRVIoQU5OLDIwMTAsLCwsVVNEKQ==&amp;WINDOW=FIRST_POPUP&amp;HEIGHT=45","0&amp;WIDTH=450&amp;START_MAXIMIZED=FALSE&amp;VAR:CALENDAR=FIVEDAY&amp;VAR:SYMBOL=B599D1&amp;VAR:INDEX=0"}</definedName>
    <definedName name="_121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1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130"}</definedName>
    <definedName name="_122__FDSAUDITLINK__" hidden="1">{"fdsup://directions/FAT Viewer?action=UPDATE&amp;creator=factset&amp;DYN_ARGS=TRUE&amp;DOC_NAME=FAT:FQL_AUDITING_CLIENT_TEMPLATE.FAT&amp;display_string=Audit&amp;VAR:KEY=IVYRSTKZOZ&amp;VAR:QUERY=RkZfRU5UUlBSX1ZBTF9FQklUX09QRVIoQU5OLDIwMDksLCwsVVNEKQ==&amp;WINDOW=FIRST_POPUP&amp;HEIGHT=45","0&amp;WIDTH=450&amp;START_MAXIMIZED=FALSE&amp;VAR:CALENDAR=FIVEDAY&amp;VAR:SYMBOL=B599D1&amp;VAR:INDEX=0"}</definedName>
    <definedName name="_122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2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129"}</definedName>
    <definedName name="_123__FDSAUDITLINK__" hidden="1">{"fdsup://directions/FAT Viewer?action=UPDATE&amp;creator=factset&amp;DYN_ARGS=TRUE&amp;DOC_NAME=FAT:FQL_AUDITING_CLIENT_TEMPLATE.FAT&amp;display_string=Audit&amp;VAR:KEY=QBQNSJSZIH&amp;VAR:QUERY=RkZfRU5UUlBSX1ZBTF9FQklUX09QRVIoQU5OLDIwMTAsLCwsVVNEKQ==&amp;WINDOW=FIRST_POPUP&amp;HEIGHT=45","0&amp;WIDTH=450&amp;START_MAXIMIZED=FALSE&amp;VAR:CALENDAR=FIVEDAY&amp;VAR:SYMBOL=B58MYJ&amp;VAR:INDEX=0"}</definedName>
    <definedName name="_123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3Graph_A1" hidden="1">#REF!</definedName>
    <definedName name="_12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128"}</definedName>
    <definedName name="_124__FDSAUDITLINK__" hidden="1">{"fdsup://directions/FAT Viewer?action=UPDATE&amp;creator=factset&amp;DYN_ARGS=TRUE&amp;DOC_NAME=FAT:FQL_AUDITING_CLIENT_TEMPLATE.FAT&amp;display_string=Audit&amp;VAR:KEY=QFYFWHKZKN&amp;VAR:QUERY=RkZfRU5UUlBSX1ZBTF9FQklUX09QRVIoQU5OLDIwMDksLCwsVVNEKQ==&amp;WINDOW=FIRST_POPUP&amp;HEIGHT=45","0&amp;WIDTH=450&amp;START_MAXIMIZED=FALSE&amp;VAR:CALENDAR=FIVEDAY&amp;VAR:SYMBOL=B58MYJ&amp;VAR:INDEX=0"}</definedName>
    <definedName name="_124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1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2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3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4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5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4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127"}</definedName>
    <definedName name="_125__FDSAUDITLINK__" hidden="1">{"fdsup://directions/FAT Viewer?action=UPDATE&amp;creator=factset&amp;DYN_ARGS=TRUE&amp;DOC_NAME=FAT:FQL_AUDITING_CLIENT_TEMPLATE.FAT&amp;display_string=Audit&amp;VAR:KEY=GJSFIZYVUP&amp;VAR:QUERY=RkZfRU5UUlBSX1ZBTF9FQklUX09QRVIoQU5OLDIwMTAsLCwsVVNEKQ==&amp;WINDOW=FIRST_POPUP&amp;HEIGHT=45","0&amp;WIDTH=450&amp;START_MAXIMIZED=FALSE&amp;VAR:CALENDAR=FIVEDAY&amp;VAR:SYMBOL=B1VZKH&amp;VAR:INDEX=0"}</definedName>
    <definedName name="_125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1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2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3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4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5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5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126"}</definedName>
    <definedName name="_126__FDSAUDITLINK__" hidden="1">{"fdsup://directions/FAT Viewer?action=UPDATE&amp;creator=factset&amp;DYN_ARGS=TRUE&amp;DOC_NAME=FAT:FQL_AUDITING_CLIENT_TEMPLATE.FAT&amp;display_string=Audit&amp;VAR:KEY=YRENQXIPOR&amp;VAR:QUERY=RkZfRU5UUlBSX1ZBTF9FQklUX09QRVIoQU5OLDIwMDksLCwsVVNEKQ==&amp;WINDOW=FIRST_POPUP&amp;HEIGHT=45","0&amp;WIDTH=450&amp;START_MAXIMIZED=FALSE&amp;VAR:CALENDAR=FIVEDAY&amp;VAR:SYMBOL=B1VZKH&amp;VAR:INDEX=0"}</definedName>
    <definedName name="_126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6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125"}</definedName>
    <definedName name="_127__FDSAUDITLINK__" hidden="1">{"fdsup://directions/FAT Viewer?action=UPDATE&amp;creator=factset&amp;DYN_ARGS=TRUE&amp;DOC_NAME=FAT:FQL_AUDITING_CLIENT_TEMPLATE.FAT&amp;display_string=Audit&amp;VAR:KEY=OXYFARCJEV&amp;VAR:QUERY=RkZfRU5UUlBSX1ZBTF9FQklUX09QRVIoQU5OLDIwMTAsLCwsVVNEKQ==&amp;WINDOW=FIRST_POPUP&amp;HEIGHT=45","0&amp;WIDTH=450&amp;START_MAXIMIZED=FALSE&amp;VAR:CALENDAR=FIVEDAY&amp;VAR:SYMBOL=B0D5V5&amp;VAR:INDEX=0"}</definedName>
    <definedName name="_127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6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7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8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9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7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124"}</definedName>
    <definedName name="_128__FDSAUDITLINK__" hidden="1">{"fdsup://directions/FAT Viewer?action=UPDATE&amp;creator=factset&amp;DYN_ARGS=TRUE&amp;DOC_NAME=FAT:FQL_AUDITING_CLIENT_TEMPLATE.FAT&amp;display_string=Audit&amp;VAR:KEY=MHALKFGNKV&amp;VAR:QUERY=RkZfRU5UUlBSX1ZBTF9FQklUX09QRVIoQU5OLDIwMDksLCwsVVNEKQ==&amp;WINDOW=FIRST_POPUP&amp;HEIGHT=45","0&amp;WIDTH=450&amp;START_MAXIMIZED=FALSE&amp;VAR:CALENDAR=FIVEDAY&amp;VAR:SYMBOL=B0D5V5&amp;VAR:INDEX=0"}</definedName>
    <definedName name="_1280__FDSAUDITLINK__" localSheetId="0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1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2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3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4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5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6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7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8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9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8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123"}</definedName>
    <definedName name="_129__FDSAUDITLINK__" hidden="1">{"fdsup://directions/FAT Viewer?action=UPDATE&amp;creator=factset&amp;DYN_ARGS=TRUE&amp;DOC_NAME=FAT:FQL_AUDITING_CLIENT_TEMPLATE.FAT&amp;display_string=Audit&amp;VAR:KEY=WLWHCNUREN&amp;VAR:QUERY=RkZfRU5UUlBSX1ZBTF9FQklUX09QRVIoQU5OLDIwMTAsLCwsVVNEKQ==&amp;WINDOW=FIRST_POPUP&amp;HEIGHT=45","0&amp;WIDTH=450&amp;START_MAXIMIZED=FALSE&amp;VAR:CALENDAR=FIVEDAY&amp;VAR:SYMBOL=B1J1MT&amp;VAR:INDEX=0"}</definedName>
    <definedName name="_1290__FDSAUDITLINK__" localSheetId="0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9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91__FDSAUDITLINK__" localSheetId="0" hidden="1">{"fdsup://IBCentral/FAT Viewer?action=UPDATE&amp;creator=factset&amp;DOC_NAME=fat:reuters_annual_source_window.fat&amp;display_string=Audit&amp;DYN_ARGS=TRUE&amp;VAR:ID1=238136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291__FDSAUDITLINK__" hidden="1">{"fdsup://IBCentral/FAT Viewer?action=UPDATE&amp;creator=factset&amp;DOC_NAME=fat:reuters_annual_source_window.fat&amp;display_string=Audit&amp;DYN_ARGS=TRUE&amp;VAR:ID1=238136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292__FDSAUDITLINK__" localSheetId="0" hidden="1">{"fdsup://IBCentral/FAT Viewer?action=UPDATE&amp;creator=factset&amp;DOC_NAME=fat:reuters_qtrly_source_window.fat&amp;display_string=Audit&amp;DYN_ARGS=TRUE&amp;VAR:ID1=238136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92__FDSAUDITLINK__" hidden="1">{"fdsup://IBCentral/FAT Viewer?action=UPDATE&amp;creator=factset&amp;DOC_NAME=fat:reuters_qtrly_source_window.fat&amp;display_string=Audit&amp;DYN_ARGS=TRUE&amp;VAR:ID1=238136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293__FDSAUDITLINK__" localSheetId="0" hidden="1">{"fdsup://IBCentral/FAT Viewer?action=UPDATE&amp;creator=factset&amp;DOC_NAME=fat:reuters_annual_source_window.fat&amp;display_string=Audit&amp;DYN_ARGS=TRUE&amp;VAR:ID1=238136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293__FDSAUDITLINK__" hidden="1">{"fdsup://IBCentral/FAT Viewer?action=UPDATE&amp;creator=factset&amp;DOC_NAME=fat:reuters_annual_source_window.fat&amp;display_string=Audit&amp;DYN_ARGS=TRUE&amp;VAR:ID1=238136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294__FDSAUDITLINK__" localSheetId="0" hidden="1">{"fdsup://IBCentral/FAT Viewer?action=UPDATE&amp;creator=factset&amp;DOC_NAME=fat:reuters_qtrly_source_window.fat&amp;display_string=Audit&amp;DYN_ARGS=TRUE&amp;VAR:ID1=238136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294__FDSAUDITLINK__" hidden="1">{"fdsup://IBCentral/FAT Viewer?action=UPDATE&amp;creator=factset&amp;DOC_NAME=fat:reuters_qtrly_source_window.fat&amp;display_string=Audit&amp;DYN_ARGS=TRUE&amp;VAR:ID1=238136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295__FDSAUDITLINK__" localSheetId="0" hidden="1">{"fdsup://IBCentral/FAT Viewer?action=UPDATE&amp;creator=factset&amp;DOC_NAME=fat:reuters_annual_source_window.fat&amp;display_string=Audit&amp;DYN_ARGS=TRUE&amp;VAR:ID1=B0N8QD&amp;VAR:RCODE=QTLE&amp;VAR:SDATE=20090999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295__FDSAUDITLINK__" hidden="1">{"fdsup://IBCentral/FAT Viewer?action=UPDATE&amp;creator=factset&amp;DOC_NAME=fat:reuters_annual_source_window.fat&amp;display_string=Audit&amp;DYN_ARGS=TRUE&amp;VAR:ID1=B0N8QD&amp;VAR:RCODE=QTLE&amp;VAR:SDATE=20090999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296__FDSAUDITLINK__" localSheetId="0" hidden="1">{"fdsup://IBCentral/FAT Viewer?action=UPDATE&amp;creator=factset&amp;DOC_NAME=fat:reuters_semi_source_window.fat&amp;display_string=Audit&amp;DYN_ARGS=TRUE&amp;VAR:ID1=B0N8QD&amp;VAR:RCODE=QTLE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296__FDSAUDITLINK__" hidden="1">{"fdsup://IBCentral/FAT Viewer?action=UPDATE&amp;creator=factset&amp;DOC_NAME=fat:reuters_semi_source_window.fat&amp;display_string=Audit&amp;DYN_ARGS=TRUE&amp;VAR:ID1=B0N8QD&amp;VAR:RCODE=QTLE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297__FDSAUDITLINK__" localSheetId="0" hidden="1">{"fdsup://IBCentral/FAT Viewer?action=UPDATE&amp;creator=factset&amp;DOC_NAME=fat:reuters_annual_source_window.fat&amp;display_string=Audit&amp;DYN_ARGS=TRUE&amp;VAR:ID1=B0N8QD&amp;VAR:RCODE=CMNEQ&amp;VAR:SDATE=20090999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297__FDSAUDITLINK__" hidden="1">{"fdsup://IBCentral/FAT Viewer?action=UPDATE&amp;creator=factset&amp;DOC_NAME=fat:reuters_annual_source_window.fat&amp;display_string=Audit&amp;DYN_ARGS=TRUE&amp;VAR:ID1=B0N8QD&amp;VAR:RCODE=CMNEQ&amp;VAR:SDATE=20090999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298__FDSAUDITLINK__" localSheetId="0" hidden="1">{"fdsup://IBCentral/FAT Viewer?action=UPDATE&amp;creator=factset&amp;DOC_NAME=fat:reuters_semi_source_window.fat&amp;display_string=Audit&amp;DYN_ARGS=TRUE&amp;VAR:ID1=B0N8QD&amp;VAR:RCODE=CMNEQ&amp;VAR:SDATE=20100399&amp;VAR:FREQ=FSA&amp;VAR:RELITEM=NOAUDIT&amp;VAR:CURRENCY=&amp;VAR:CURRSOURCE=EXSHA","RE&amp;VAR:NATFREQ=FSA&amp;VAR:RFIELD=FINALIZED&amp;VAR:DB_TYPE=&amp;VAR:UNITS=M&amp;window=popup&amp;width=450&amp;height=300&amp;START_MAXIMIZED=FALSE"}</definedName>
    <definedName name="_1298__FDSAUDITLINK__" hidden="1">{"fdsup://IBCentral/FAT Viewer?action=UPDATE&amp;creator=factset&amp;DOC_NAME=fat:reuters_semi_source_window.fat&amp;display_string=Audit&amp;DYN_ARGS=TRUE&amp;VAR:ID1=B0N8QD&amp;VAR:RCODE=CMNEQ&amp;VAR:SDATE=20100399&amp;VAR:FREQ=FSA&amp;VAR:RELITEM=NOAUDIT&amp;VAR:CURRENCY=&amp;VAR:CURRSOURCE=EXSHA","RE&amp;VAR:NATFREQ=FSA&amp;VAR:RFIELD=FINALIZED&amp;VAR:DB_TYPE=&amp;VAR:UNITS=M&amp;window=popup&amp;width=450&amp;height=300&amp;START_MAXIMIZED=FALSE"}</definedName>
    <definedName name="_1299__FDSAUDITLINK__" localSheetId="0" hidden="1">{"fdsup://IBCentral/FAT Viewer?action=UPDATE&amp;creator=factset&amp;DOC_NAME=fat:reuters_annual_source_window.fat&amp;display_string=Audit&amp;DYN_ARGS=TRUE&amp;VAR:ID1=282388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299__FDSAUDITLINK__" hidden="1">{"fdsup://IBCentral/FAT Viewer?action=UPDATE&amp;creator=factset&amp;DOC_NAME=fat:reuters_annual_source_window.fat&amp;display_string=Audit&amp;DYN_ARGS=TRUE&amp;VAR:ID1=282388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2k1_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12k1_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12W1_" localSheetId="0" hidden="1">{#N/A,#N/A,FALSE,"OffAdvance";#N/A,#N/A,FALSE,"OffExpRprt";#N/A,#N/A,FALSE,"Entertmnt";#N/A,#N/A,FALSE,"Promotion";#N/A,#N/A,FALSE,"Travelling"}</definedName>
    <definedName name="_12W1_" hidden="1">{#N/A,#N/A,FALSE,"OffAdvance";#N/A,#N/A,FALSE,"OffExpRprt";#N/A,#N/A,FALSE,"Entertmnt";#N/A,#N/A,FALSE,"Promotion";#N/A,#N/A,FALSE,"Travelling"}</definedName>
    <definedName name="_13__123Graph_ACHART_1" hidden="1">#REF!</definedName>
    <definedName name="_13__123Graph_AGROWTH_9" hidden="1">#REF!</definedName>
    <definedName name="_13__123Graph_BCHART_19" hidden="1">#REF!</definedName>
    <definedName name="_13__123Graph_CCHART_11" hidden="1">#REF!</definedName>
    <definedName name="_13__123Graph_CCHART_8" hidden="1">#REF!</definedName>
    <definedName name="_13__123Graph_DCHART_8" hidden="1">#REF!</definedName>
    <definedName name="_13__123Graph_ECHART_6" hidden="1">#REF!</definedName>
    <definedName name="_13__123Graph_FCHART_1" hidden="1">#REF!</definedName>
    <definedName name="_13__123Graph_XTEILM_RKTE2" hidden="1">#REF!</definedName>
    <definedName name="_13__FDSAUDITLINK__" localSheetId="0" hidden="1">{"fdsup://IBCentral/FAT Viewer?action=UPDATE&amp;creator=factset&amp;DOC_NAME=fat:reuters_qtrly_source_window.fat&amp;display_string=Audit&amp;DYN_ARGS=TRUE&amp;VAR:ID1=692737&amp;VAR:RCODE=SCSI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13__FDSAUDITLINK__" hidden="1">{"fdsup://directions/FAT Viewer?action=UPDATE&amp;creator=factset&amp;DYN_ARGS=TRUE&amp;DOC_NAME=FAT:FQL_AUDITING_CLIENT_TEMPLATE.FAT&amp;display_string=Audit&amp;VAR:KEY=IFYDCNIFWB&amp;VAR:QUERY=RkZfRUJJVERBX09QRVJfTUdOKEFOTiwyMDEwKQ==&amp;WINDOW=FIRST_POPUP&amp;HEIGHT=450&amp;WIDTH=450&amp;STAR","T_MAXIMIZED=FALSE&amp;VAR:CALENDAR=FIVEDAY&amp;VAR:SYMBOL=B58MYJ&amp;VAR:INDEX=0"}</definedName>
    <definedName name="_13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122"}</definedName>
    <definedName name="_130__FDSAUDITLINK__" hidden="1">{"fdsup://directions/FAT Viewer?action=UPDATE&amp;creator=factset&amp;DYN_ARGS=TRUE&amp;DOC_NAME=FAT:FQL_AUDITING_CLIENT_TEMPLATE.FAT&amp;display_string=Audit&amp;VAR:KEY=YZIBKLMPMH&amp;VAR:QUERY=RkZfRU5UUlBSX1ZBTF9FQklUX09QRVIoQU5OLDIwMDksLCwsVVNEKQ==&amp;WINDOW=FIRST_POPUP&amp;HEIGHT=45","0&amp;WIDTH=450&amp;START_MAXIMIZED=FALSE&amp;VAR:CALENDAR=FIVEDAY&amp;VAR:SYMBOL=B1J1MT&amp;VAR:INDEX=0"}</definedName>
    <definedName name="_1300__FDSAUDITLINK__" localSheetId="0" hidden="1">{"fdsup://IBCentral/FAT Viewer?action=UPDATE&amp;creator=factset&amp;DOC_NAME=fat:reuters_qtrly_source_window.fat&amp;display_string=Audit&amp;DYN_ARGS=TRUE&amp;VAR:ID1=282388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00__FDSAUDITLINK__" hidden="1">{"fdsup://IBCentral/FAT Viewer?action=UPDATE&amp;creator=factset&amp;DOC_NAME=fat:reuters_qtrly_source_window.fat&amp;display_string=Audit&amp;DYN_ARGS=TRUE&amp;VAR:ID1=282388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01__FDSAUDITLINK__" localSheetId="0" hidden="1">{"fdsup://IBCentral/FAT Viewer?action=UPDATE&amp;creator=factset&amp;DOC_NAME=fat:reuters_annual_source_window.fat&amp;display_string=Audit&amp;DYN_ARGS=TRUE&amp;VAR:ID1=282388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01__FDSAUDITLINK__" hidden="1">{"fdsup://IBCentral/FAT Viewer?action=UPDATE&amp;creator=factset&amp;DOC_NAME=fat:reuters_annual_source_window.fat&amp;display_string=Audit&amp;DYN_ARGS=TRUE&amp;VAR:ID1=282388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02__FDSAUDITLINK__" localSheetId="0" hidden="1">{"fdsup://IBCentral/FAT Viewer?action=UPDATE&amp;creator=factset&amp;DOC_NAME=fat:reuters_qtrly_source_window.fat&amp;display_string=Audit&amp;DYN_ARGS=TRUE&amp;VAR:ID1=282388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02__FDSAUDITLINK__" hidden="1">{"fdsup://IBCentral/FAT Viewer?action=UPDATE&amp;creator=factset&amp;DOC_NAME=fat:reuters_qtrly_source_window.fat&amp;display_string=Audit&amp;DYN_ARGS=TRUE&amp;VAR:ID1=282388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03__FDSAUDITLINK__" localSheetId="0" hidden="1">{"fdsup://IBCentral/FAT Viewer?action=UPDATE&amp;creator=factset&amp;DOC_NAME=fat:reuters_annual_source_window.fat&amp;display_string=Audit&amp;DYN_ARGS=TRUE&amp;VAR:ID1=19122T10&amp;VAR:RCODE=QTLE&amp;VAR:SDATE=20091299&amp;VAR:FREQ=Y&amp;VAR:RELITEM=NOAUDIT&amp;VAR:CURRENCY=&amp;VAR:CURRSOURCE=EXSH","ARE&amp;VAR:NATFREQ=ANNUAL&amp;VAR:RFIELD=FINALIZED&amp;VAR:DB_TYPE=&amp;VAR:UNITS=M&amp;window=popup&amp;width=450&amp;height=300&amp;START_MAXIMIZED=FALSE"}</definedName>
    <definedName name="_1303__FDSAUDITLINK__" hidden="1">{"fdsup://IBCentral/FAT Viewer?action=UPDATE&amp;creator=factset&amp;DOC_NAME=fat:reuters_annual_source_window.fat&amp;display_string=Audit&amp;DYN_ARGS=TRUE&amp;VAR:ID1=19122T10&amp;VAR:RCODE=QTLE&amp;VAR:SDATE=20091299&amp;VAR:FREQ=Y&amp;VAR:RELITEM=NOAUDIT&amp;VAR:CURRENCY=&amp;VAR:CURRSOURCE=EXSH","ARE&amp;VAR:NATFREQ=ANNUAL&amp;VAR:RFIELD=FINALIZED&amp;VAR:DB_TYPE=&amp;VAR:UNITS=M&amp;window=popup&amp;width=450&amp;height=300&amp;START_MAXIMIZED=FALSE"}</definedName>
    <definedName name="_1304__FDSAUDITLINK__" localSheetId="0" hidden="1">{"fdsup://IBCentral/FAT Viewer?action=UPDATE&amp;creator=factset&amp;DOC_NAME=fat:reuters_qtrly_source_window.fat&amp;display_string=Audit&amp;DYN_ARGS=TRUE&amp;VAR:ID1=19122T10&amp;VAR:RCODE=QTLE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04__FDSAUDITLINK__" hidden="1">{"fdsup://IBCentral/FAT Viewer?action=UPDATE&amp;creator=factset&amp;DOC_NAME=fat:reuters_qtrly_source_window.fat&amp;display_string=Audit&amp;DYN_ARGS=TRUE&amp;VAR:ID1=19122T10&amp;VAR:RCODE=QTLE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05__FDSAUDITLINK__" localSheetId="0" hidden="1">{"fdsup://IBCentral/FAT Viewer?action=UPDATE&amp;creator=factset&amp;DOC_NAME=fat:reuters_annual_source_window.fat&amp;display_string=Audit&amp;DYN_ARGS=TRUE&amp;VAR:ID1=19122T10&amp;VAR:RCODE=CMNEQ&amp;VAR:SDATE=20091299&amp;VAR:FREQ=Y&amp;VAR:RELITEM=NOAUDIT&amp;VAR:CURRENCY=&amp;VAR:CURRSOURCE=EXS","HARE&amp;VAR:NATFREQ=ANNUAL&amp;VAR:RFIELD=FINALIZED&amp;VAR:DB_TYPE=&amp;VAR:UNITS=M&amp;window=popup&amp;width=450&amp;height=300&amp;START_MAXIMIZED=FALSE"}</definedName>
    <definedName name="_1305__FDSAUDITLINK__" hidden="1">{"fdsup://IBCentral/FAT Viewer?action=UPDATE&amp;creator=factset&amp;DOC_NAME=fat:reuters_annual_source_window.fat&amp;display_string=Audit&amp;DYN_ARGS=TRUE&amp;VAR:ID1=19122T10&amp;VAR:RCODE=CMNEQ&amp;VAR:SDATE=20091299&amp;VAR:FREQ=Y&amp;VAR:RELITEM=NOAUDIT&amp;VAR:CURRENCY=&amp;VAR:CURRSOURCE=EXS","HARE&amp;VAR:NATFREQ=ANNUAL&amp;VAR:RFIELD=FINALIZED&amp;VAR:DB_TYPE=&amp;VAR:UNITS=M&amp;window=popup&amp;width=450&amp;height=300&amp;START_MAXIMIZED=FALSE"}</definedName>
    <definedName name="_1306__FDSAUDITLINK__" localSheetId="0" hidden="1">{"fdsup://IBCentral/FAT Viewer?action=UPDATE&amp;creator=factset&amp;DOC_NAME=fat:reuters_qtrly_source_window.fat&amp;display_string=Audit&amp;DYN_ARGS=TRUE&amp;VAR:ID1=19122T10&amp;VAR:RCODE=CMNEQ&amp;VAR:SDATE=20100999&amp;VAR:FREQ=Quarterly&amp;VAR:RELITEM=NOAUDIT&amp;VAR:CURRENCY=&amp;VAR:CURRSOU","RCE=EXSHARE&amp;VAR:NATFREQ=QUARTERLY&amp;VAR:RFIELD=FINALIZED&amp;VAR:DB_TYPE=&amp;VAR:UNITS=M&amp;window=popup&amp;width=450&amp;height=300&amp;START_MAXIMIZED=FALSE"}</definedName>
    <definedName name="_1306__FDSAUDITLINK__" hidden="1">{"fdsup://IBCentral/FAT Viewer?action=UPDATE&amp;creator=factset&amp;DOC_NAME=fat:reuters_qtrly_source_window.fat&amp;display_string=Audit&amp;DYN_ARGS=TRUE&amp;VAR:ID1=19122T10&amp;VAR:RCODE=CMNEQ&amp;VAR:SDATE=20100999&amp;VAR:FREQ=Quarterly&amp;VAR:RELITEM=NOAUDIT&amp;VAR:CURRENCY=&amp;VAR:CURRSOU","RCE=EXSHARE&amp;VAR:NATFREQ=QUARTERLY&amp;VAR:RFIELD=FINALIZED&amp;VAR:DB_TYPE=&amp;VAR:UNITS=M&amp;window=popup&amp;width=450&amp;height=300&amp;START_MAXIMIZED=FALSE"}</definedName>
    <definedName name="_1307__FDSAUDITLINK__" localSheetId="0" hidden="1">{"fdsup://IBCentral/FAT Viewer?action=UPDATE&amp;creator=factset&amp;DOC_NAME=fat:reuters_annual_source_window.fat&amp;display_string=Audit&amp;DYN_ARGS=TRUE&amp;VAR:ID1=B058ZV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07__FDSAUDITLINK__" hidden="1">{"fdsup://IBCentral/FAT Viewer?action=UPDATE&amp;creator=factset&amp;DOC_NAME=fat:reuters_annual_source_window.fat&amp;display_string=Audit&amp;DYN_ARGS=TRUE&amp;VAR:ID1=B058ZV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08__FDSAUDITLINK__" localSheetId="0" hidden="1">{"fdsup://IBCentral/FAT Viewer?action=UPDATE&amp;creator=factset&amp;DOC_NAME=fat:reuters_qtrly_source_window.fat&amp;display_string=Audit&amp;DYN_ARGS=TRUE&amp;VAR:ID1=B058ZV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08__FDSAUDITLINK__" hidden="1">{"fdsup://IBCentral/FAT Viewer?action=UPDATE&amp;creator=factset&amp;DOC_NAME=fat:reuters_qtrly_source_window.fat&amp;display_string=Audit&amp;DYN_ARGS=TRUE&amp;VAR:ID1=B058ZV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09__FDSAUDITLINK__" localSheetId="0" hidden="1">{"fdsup://IBCentral/FAT Viewer?action=UPDATE&amp;creator=factset&amp;DOC_NAME=fat:reuters_annual_source_window.fat&amp;display_string=Audit&amp;DYN_ARGS=TRUE&amp;VAR:ID1=B058ZV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09__FDSAUDITLINK__" hidden="1">{"fdsup://IBCentral/FAT Viewer?action=UPDATE&amp;creator=factset&amp;DOC_NAME=fat:reuters_annual_source_window.fat&amp;display_string=Audit&amp;DYN_ARGS=TRUE&amp;VAR:ID1=B058ZV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121"}</definedName>
    <definedName name="_131__FDSAUDITLINK__" hidden="1">{"fdsup://directions/FAT Viewer?action=UPDATE&amp;creator=factset&amp;DYN_ARGS=TRUE&amp;DOC_NAME=FAT:FQL_AUDITING_CLIENT_TEMPLATE.FAT&amp;display_string=Audit&amp;VAR:KEY=GRGXORYLQP&amp;VAR:QUERY=RkZfRU5UUlBSX1ZBTF9FQklUX09QRVIoQU5OLDIwMTAsLCwsVVNEKQ==&amp;WINDOW=FIRST_POPUP&amp;HEIGHT=45","0&amp;WIDTH=450&amp;START_MAXIMIZED=FALSE&amp;VAR:CALENDAR=FIVEDAY&amp;VAR:SYMBOL=769426&amp;VAR:INDEX=0"}</definedName>
    <definedName name="_1310__FDSAUDITLINK__" localSheetId="0" hidden="1">{"fdsup://IBCentral/FAT Viewer?action=UPDATE&amp;creator=factset&amp;DOC_NAME=fat:reuters_qtrly_source_window.fat&amp;display_string=Audit&amp;DYN_ARGS=TRUE&amp;VAR:ID1=B058ZV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10__FDSAUDITLINK__" hidden="1">{"fdsup://IBCentral/FAT Viewer?action=UPDATE&amp;creator=factset&amp;DOC_NAME=fat:reuters_qtrly_source_window.fat&amp;display_string=Audit&amp;DYN_ARGS=TRUE&amp;VAR:ID1=B058ZV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11__FDSAUDITLINK__" localSheetId="0" hidden="1">{"fdsup://IBCentral/FAT Viewer?action=UPDATE&amp;creator=factset&amp;DOC_NAME=fat:reuters_annual_source_window.fat&amp;display_string=Audit&amp;DYN_ARGS=TRUE&amp;VAR:ID1=214189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11__FDSAUDITLINK__" hidden="1">{"fdsup://IBCentral/FAT Viewer?action=UPDATE&amp;creator=factset&amp;DOC_NAME=fat:reuters_annual_source_window.fat&amp;display_string=Audit&amp;DYN_ARGS=TRUE&amp;VAR:ID1=214189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12__FDSAUDITLINK__" localSheetId="0" hidden="1">{"fdsup://IBCentral/FAT Viewer?action=UPDATE&amp;creator=factset&amp;DOC_NAME=fat:reuters_qtrly_source_window.fat&amp;display_string=Audit&amp;DYN_ARGS=TRUE&amp;VAR:ID1=214189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12__FDSAUDITLINK__" hidden="1">{"fdsup://IBCentral/FAT Viewer?action=UPDATE&amp;creator=factset&amp;DOC_NAME=fat:reuters_qtrly_source_window.fat&amp;display_string=Audit&amp;DYN_ARGS=TRUE&amp;VAR:ID1=214189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13__FDSAUDITLINK__" localSheetId="0" hidden="1">{"fdsup://IBCentral/FAT Viewer?action=UPDATE&amp;creator=factset&amp;DOC_NAME=fat:reuters_annual_source_window.fat&amp;display_string=Audit&amp;DYN_ARGS=TRUE&amp;VAR:ID1=214189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13__FDSAUDITLINK__" hidden="1">{"fdsup://IBCentral/FAT Viewer?action=UPDATE&amp;creator=factset&amp;DOC_NAME=fat:reuters_annual_source_window.fat&amp;display_string=Audit&amp;DYN_ARGS=TRUE&amp;VAR:ID1=214189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14__FDSAUDITLINK__" localSheetId="0" hidden="1">{"fdsup://IBCentral/FAT Viewer?action=UPDATE&amp;creator=factset&amp;DOC_NAME=fat:reuters_qtrly_source_window.fat&amp;display_string=Audit&amp;DYN_ARGS=TRUE&amp;VAR:ID1=214189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14__FDSAUDITLINK__" hidden="1">{"fdsup://IBCentral/FAT Viewer?action=UPDATE&amp;creator=factset&amp;DOC_NAME=fat:reuters_qtrly_source_window.fat&amp;display_string=Audit&amp;DYN_ARGS=TRUE&amp;VAR:ID1=214189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15__FDSAUDITLINK__" localSheetId="0" hidden="1">{"fdsup://IBCentral/FAT Viewer?action=UPDATE&amp;creator=factset&amp;DOC_NAME=fat:reuters_annual_source_window.fat&amp;display_string=Audit&amp;DYN_ARGS=TRUE&amp;VAR:ID1=442072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15__FDSAUDITLINK__" hidden="1">{"fdsup://IBCentral/FAT Viewer?action=UPDATE&amp;creator=factset&amp;DOC_NAME=fat:reuters_annual_source_window.fat&amp;display_string=Audit&amp;DYN_ARGS=TRUE&amp;VAR:ID1=442072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16__FDSAUDITLINK__" localSheetId="0" hidden="1">{"fdsup://IBCentral/FAT Viewer?action=UPDATE&amp;creator=factset&amp;DOC_NAME=fat:reuters_qtrly_source_window.fat&amp;display_string=Audit&amp;DYN_ARGS=TRUE&amp;VAR:ID1=442072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16__FDSAUDITLINK__" hidden="1">{"fdsup://IBCentral/FAT Viewer?action=UPDATE&amp;creator=factset&amp;DOC_NAME=fat:reuters_qtrly_source_window.fat&amp;display_string=Audit&amp;DYN_ARGS=TRUE&amp;VAR:ID1=442072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17__FDSAUDITLINK__" localSheetId="0" hidden="1">{"fdsup://IBCentral/FAT Viewer?action=UPDATE&amp;creator=factset&amp;DOC_NAME=fat:reuters_annual_source_window.fat&amp;display_string=Audit&amp;DYN_ARGS=TRUE&amp;VAR:ID1=442072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17__FDSAUDITLINK__" hidden="1">{"fdsup://IBCentral/FAT Viewer?action=UPDATE&amp;creator=factset&amp;DOC_NAME=fat:reuters_annual_source_window.fat&amp;display_string=Audit&amp;DYN_ARGS=TRUE&amp;VAR:ID1=442072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18__FDSAUDITLINK__" localSheetId="0" hidden="1">{"fdsup://IBCentral/FAT Viewer?action=UPDATE&amp;creator=factset&amp;DOC_NAME=fat:reuters_qtrly_source_window.fat&amp;display_string=Audit&amp;DYN_ARGS=TRUE&amp;VAR:ID1=442072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18__FDSAUDITLINK__" hidden="1">{"fdsup://IBCentral/FAT Viewer?action=UPDATE&amp;creator=factset&amp;DOC_NAME=fat:reuters_qtrly_source_window.fat&amp;display_string=Audit&amp;DYN_ARGS=TRUE&amp;VAR:ID1=442072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19__FDSAUDITLINK__" localSheetId="0" hidden="1">{"fdsup://IBCentral/FAT Viewer?action=UPDATE&amp;creator=factset&amp;DOC_NAME=fat:reuters_qtrly_source_window.fat&amp;display_string=Audit&amp;DYN_ARGS=TRUE&amp;VAR:ID1=238136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19__FDSAUDITLINK__" hidden="1">{"fdsup://IBCentral/FAT Viewer?action=UPDATE&amp;creator=factset&amp;DOC_NAME=fat:reuters_qtrly_source_window.fat&amp;display_string=Audit&amp;DYN_ARGS=TRUE&amp;VAR:ID1=238136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120"}</definedName>
    <definedName name="_132__FDSAUDITLINK__" hidden="1">{"fdsup://directions/FAT Viewer?action=UPDATE&amp;creator=factset&amp;DYN_ARGS=TRUE&amp;DOC_NAME=FAT:FQL_AUDITING_CLIENT_TEMPLATE.FAT&amp;display_string=Audit&amp;VAR:KEY=AVIJIDEJYP&amp;VAR:QUERY=RkZfRU5UUlBSX1ZBTF9FQklUX09QRVIoQU5OLDIwMDksLCwsVVNEKQ==&amp;WINDOW=FIRST_POPUP&amp;HEIGHT=45","0&amp;WIDTH=450&amp;START_MAXIMIZED=FALSE&amp;VAR:CALENDAR=FIVEDAY&amp;VAR:SYMBOL=769426&amp;VAR:INDEX=0"}</definedName>
    <definedName name="_1320__FDSAUDITLINK__" localSheetId="0" hidden="1">{"fdsup://IBCentral/FAT Viewer?action=UPDATE&amp;creator=factset&amp;DOC_NAME=fat:reuters_annual_source_window.fat&amp;display_string=Audit&amp;DYN_ARGS=TRUE&amp;VAR:ID1=238136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20__FDSAUDITLINK__" hidden="1">{"fdsup://IBCentral/FAT Viewer?action=UPDATE&amp;creator=factset&amp;DOC_NAME=fat:reuters_annual_source_window.fat&amp;display_string=Audit&amp;DYN_ARGS=TRUE&amp;VAR:ID1=238136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21__FDSAUDITLINK__" localSheetId="0" hidden="1">{"fdsup://IBCentral/FAT Viewer?action=UPDATE&amp;creator=factset&amp;DOC_NAME=fat:reuters_semi_source_window.fat&amp;display_string=Audit&amp;DYN_ARGS=TRUE&amp;VAR:ID1=B0N8QD&amp;VAR:RCODE=LMIN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321__FDSAUDITLINK__" hidden="1">{"fdsup://IBCentral/FAT Viewer?action=UPDATE&amp;creator=factset&amp;DOC_NAME=fat:reuters_semi_source_window.fat&amp;display_string=Audit&amp;DYN_ARGS=TRUE&amp;VAR:ID1=B0N8QD&amp;VAR:RCODE=LMIN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322__FDSAUDITLINK__" localSheetId="0" hidden="1">{"fdsup://IBCentral/FAT Viewer?action=UPDATE&amp;creator=factset&amp;DOC_NAME=fat:reuters_annual_source_window.fat&amp;display_string=Audit&amp;DYN_ARGS=TRUE&amp;VAR:ID1=B0N8QD&amp;VAR:RCODE=STLD&amp;VAR:SDATE=20090999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22__FDSAUDITLINK__" hidden="1">{"fdsup://IBCentral/FAT Viewer?action=UPDATE&amp;creator=factset&amp;DOC_NAME=fat:reuters_annual_source_window.fat&amp;display_string=Audit&amp;DYN_ARGS=TRUE&amp;VAR:ID1=B0N8QD&amp;VAR:RCODE=STLD&amp;VAR:SDATE=20090999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23__FDSAUDITLINK__" localSheetId="0" hidden="1">{"fdsup://IBCentral/FAT Viewer?action=UPDATE&amp;creator=factset&amp;DOC_NAME=fat:reuters_semi_source_window.fat&amp;display_string=Audit&amp;DYN_ARGS=TRUE&amp;VAR:ID1=B0N8QD&amp;VAR:RCODE=STLD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323__FDSAUDITLINK__" hidden="1">{"fdsup://IBCentral/FAT Viewer?action=UPDATE&amp;creator=factset&amp;DOC_NAME=fat:reuters_semi_source_window.fat&amp;display_string=Audit&amp;DYN_ARGS=TRUE&amp;VAR:ID1=B0N8QD&amp;VAR:RCODE=STLD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324__FDSAUDITLINK__" localSheetId="0" hidden="1">{"fdsup://IBCentral/FAT Viewer?action=UPDATE&amp;creator=factset&amp;DOC_NAME=fat:reuters_semi_source_window.fat&amp;display_string=Audit&amp;DYN_ARGS=TRUE&amp;VAR:ID1=B0N8QD&amp;VAR:RCODE=STLD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324__FDSAUDITLINK__" hidden="1">{"fdsup://IBCentral/FAT Viewer?action=UPDATE&amp;creator=factset&amp;DOC_NAME=fat:reuters_semi_source_window.fat&amp;display_string=Audit&amp;DYN_ARGS=TRUE&amp;VAR:ID1=B0N8QD&amp;VAR:RCODE=STLD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325__FDSAUDITLINK__" localSheetId="0" hidden="1">{"fdsup://IBCentral/FAT Viewer?action=UPDATE&amp;creator=factset&amp;DOC_NAME=fat:reuters_qtrly_source_window.fat&amp;display_string=Audit&amp;DYN_ARGS=TRUE&amp;VAR:ID1=282388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25__FDSAUDITLINK__" hidden="1">{"fdsup://IBCentral/FAT Viewer?action=UPDATE&amp;creator=factset&amp;DOC_NAME=fat:reuters_qtrly_source_window.fat&amp;display_string=Audit&amp;DYN_ARGS=TRUE&amp;VAR:ID1=282388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26__FDSAUDITLINK__" localSheetId="0" hidden="1">{"fdsup://IBCentral/FAT Viewer?action=UPDATE&amp;creator=factset&amp;DOC_NAME=fat:reuters_annual_source_window.fat&amp;display_string=Audit&amp;DYN_ARGS=TRUE&amp;VAR:ID1=282388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26__FDSAUDITLINK__" hidden="1">{"fdsup://IBCentral/FAT Viewer?action=UPDATE&amp;creator=factset&amp;DOC_NAME=fat:reuters_annual_source_window.fat&amp;display_string=Audit&amp;DYN_ARGS=TRUE&amp;VAR:ID1=282388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27__FDSAUDITLINK__" localSheetId="0" hidden="1">{"fdsup://IBCentral/FAT Viewer?action=UPDATE&amp;creator=factset&amp;DOC_NAME=fat:reuters_annual_source_window.fat&amp;display_string=Audit&amp;DYN_ARGS=TRUE&amp;VAR:ID1=19122T10&amp;VAR:RCODE=STLD&amp;VAR:SDATE=20091299&amp;VAR:FREQ=Y&amp;VAR:RELITEM=NOAUDIT&amp;VAR:CURRENCY=&amp;VAR:CURRSOURCE=EXSH","ARE&amp;VAR:NATFREQ=ANNUAL&amp;VAR:RFIELD=FINALIZED&amp;VAR:DB_TYPE=&amp;VAR:UNITS=M&amp;window=popup&amp;width=450&amp;height=300&amp;START_MAXIMIZED=FALSE"}</definedName>
    <definedName name="_1327__FDSAUDITLINK__" hidden="1">{"fdsup://IBCentral/FAT Viewer?action=UPDATE&amp;creator=factset&amp;DOC_NAME=fat:reuters_annual_source_window.fat&amp;display_string=Audit&amp;DYN_ARGS=TRUE&amp;VAR:ID1=19122T10&amp;VAR:RCODE=STLD&amp;VAR:SDATE=20091299&amp;VAR:FREQ=Y&amp;VAR:RELITEM=NOAUDIT&amp;VAR:CURRENCY=&amp;VAR:CURRSOURCE=EXSH","ARE&amp;VAR:NATFREQ=ANNUAL&amp;VAR:RFIELD=FINALIZED&amp;VAR:DB_TYPE=&amp;VAR:UNITS=M&amp;window=popup&amp;width=450&amp;height=300&amp;START_MAXIMIZED=FALSE"}</definedName>
    <definedName name="_1328__FDSAUDITLINK__" localSheetId="0" hidden="1">{"fdsup://IBCentral/FAT Viewer?action=UPDATE&amp;creator=factset&amp;DOC_NAME=fat:reuters_qtrly_source_window.fat&amp;display_string=Audit&amp;DYN_ARGS=TRUE&amp;VAR:ID1=B058ZV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28__FDSAUDITLINK__" hidden="1">{"fdsup://IBCentral/FAT Viewer?action=UPDATE&amp;creator=factset&amp;DOC_NAME=fat:reuters_qtrly_source_window.fat&amp;display_string=Audit&amp;DYN_ARGS=TRUE&amp;VAR:ID1=B058ZV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29__FDSAUDITLINK__" localSheetId="0" hidden="1">{"fdsup://IBCentral/FAT Viewer?action=UPDATE&amp;creator=factset&amp;DOC_NAME=fat:reuters_annual_source_window.fat&amp;display_string=Audit&amp;DYN_ARGS=TRUE&amp;VAR:ID1=B058ZV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29__FDSAUDITLINK__" hidden="1">{"fdsup://IBCentral/FAT Viewer?action=UPDATE&amp;creator=factset&amp;DOC_NAME=fat:reuters_annual_source_window.fat&amp;display_string=Audit&amp;DYN_ARGS=TRUE&amp;VAR:ID1=B058ZV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119"}</definedName>
    <definedName name="_133__FDSAUDITLINK__" hidden="1">{"fdsup://directions/FAT Viewer?action=UPDATE&amp;creator=factset&amp;DYN_ARGS=TRUE&amp;DOC_NAME=FAT:FQL_AUDITING_CLIENT_TEMPLATE.FAT&amp;display_string=Audit&amp;VAR:KEY=AXAFOLEFUR&amp;VAR:QUERY=RkZfUEUoQU5OLDIwMTAsLCwsVVNEKQ==&amp;WINDOW=FIRST_POPUP&amp;HEIGHT=450&amp;WIDTH=450&amp;START_MAXIMI","ZED=FALSE&amp;VAR:CALENDAR=FIVEDAY&amp;VAR:SYMBOL=B5TWX8&amp;VAR:INDEX=0"}</definedName>
    <definedName name="_1330__FDSAUDITLINK__" localSheetId="0" hidden="1">{"fdsup://IBCentral/FAT Viewer?action=UPDATE&amp;creator=factset&amp;DOC_NAME=fat:reuters_qtrly_source_window.fat&amp;display_string=Audit&amp;DYN_ARGS=TRUE&amp;VAR:ID1=214189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30__FDSAUDITLINK__" hidden="1">{"fdsup://IBCentral/FAT Viewer?action=UPDATE&amp;creator=factset&amp;DOC_NAME=fat:reuters_qtrly_source_window.fat&amp;display_string=Audit&amp;DYN_ARGS=TRUE&amp;VAR:ID1=214189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31__FDSAUDITLINK__" localSheetId="0" hidden="1">{"fdsup://IBCentral/FAT Viewer?action=UPDATE&amp;creator=factset&amp;DOC_NAME=fat:reuters_annual_source_window.fat&amp;display_string=Audit&amp;DYN_ARGS=TRUE&amp;VAR:ID1=214189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31__FDSAUDITLINK__" hidden="1">{"fdsup://IBCentral/FAT Viewer?action=UPDATE&amp;creator=factset&amp;DOC_NAME=fat:reuters_annual_source_window.fat&amp;display_string=Audit&amp;DYN_ARGS=TRUE&amp;VAR:ID1=214189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32__FDSAUDITLINK__" localSheetId="0" hidden="1">{"fdsup://IBCentral/FAT Viewer?action=UPDATE&amp;creator=factset&amp;DOC_NAME=fat:reuters_qtrly_source_window.fat&amp;display_string=Audit&amp;DYN_ARGS=TRUE&amp;VAR:ID1=442072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32__FDSAUDITLINK__" hidden="1">{"fdsup://IBCentral/FAT Viewer?action=UPDATE&amp;creator=factset&amp;DOC_NAME=fat:reuters_qtrly_source_window.fat&amp;display_string=Audit&amp;DYN_ARGS=TRUE&amp;VAR:ID1=442072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33__FDSAUDITLINK__" localSheetId="0" hidden="1">{"fdsup://IBCentral/FAT Viewer?action=UPDATE&amp;creator=factset&amp;DOC_NAME=fat:reuters_annual_source_window.fat&amp;display_string=Audit&amp;DYN_ARGS=TRUE&amp;VAR:ID1=442072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33__FDSAUDITLINK__" hidden="1">{"fdsup://IBCentral/FAT Viewer?action=UPDATE&amp;creator=factset&amp;DOC_NAME=fat:reuters_annual_source_window.fat&amp;display_string=Audit&amp;DYN_ARGS=TRUE&amp;VAR:ID1=442072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34__FDSAUDITLINK__" localSheetId="0" hidden="1">{"fdsup://IBCentral/FAT Viewer?action=UPDATE&amp;creator=factset&amp;DOC_NAME=fat:reuters_annual_source_window.fat&amp;display_string=Audit&amp;DYN_ARGS=TRUE&amp;VAR:ID1=238136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34__FDSAUDITLINK__" hidden="1">{"fdsup://IBCentral/FAT Viewer?action=UPDATE&amp;creator=factset&amp;DOC_NAME=fat:reuters_annual_source_window.fat&amp;display_string=Audit&amp;DYN_ARGS=TRUE&amp;VAR:ID1=238136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35__FDSAUDITLINK__" localSheetId="0" hidden="1">{"fdsup://IBCentral/FAT Viewer?action=UPDATE&amp;creator=factset&amp;DOC_NAME=fat:reuters_annual_source_window.fat&amp;display_string=Audit&amp;DYN_ARGS=TRUE&amp;VAR:ID1=B0N8QD&amp;VAR:RCODE=SCSI&amp;VAR:SDATE=20090999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35__FDSAUDITLINK__" hidden="1">{"fdsup://IBCentral/FAT Viewer?action=UPDATE&amp;creator=factset&amp;DOC_NAME=fat:reuters_annual_source_window.fat&amp;display_string=Audit&amp;DYN_ARGS=TRUE&amp;VAR:ID1=B0N8QD&amp;VAR:RCODE=SCSI&amp;VAR:SDATE=20090999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36__FDSAUDITLINK__" localSheetId="0" hidden="1">{"fdsup://IBCentral/FAT Viewer?action=UPDATE&amp;creator=factset&amp;DOC_NAME=fat:reuters_semi_source_window.fat&amp;display_string=Audit&amp;DYN_ARGS=TRUE&amp;VAR:ID1=B0N8QD&amp;VAR:RCODE=SCSI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336__FDSAUDITLINK__" hidden="1">{"fdsup://IBCentral/FAT Viewer?action=UPDATE&amp;creator=factset&amp;DOC_NAME=fat:reuters_semi_source_window.fat&amp;display_string=Audit&amp;DYN_ARGS=TRUE&amp;VAR:ID1=B0N8QD&amp;VAR:RCODE=SCSI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337__FDSAUDITLINK__" localSheetId="0" hidden="1">{"fdsup://IBCentral/FAT Viewer?action=UPDATE&amp;creator=factset&amp;DOC_NAME=fat:reuters_semi_source_window.fat&amp;display_string=Audit&amp;DYN_ARGS=TRUE&amp;VAR:ID1=B0N8QD&amp;VAR:RCODE=SCSI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337__FDSAUDITLINK__" hidden="1">{"fdsup://IBCentral/FAT Viewer?action=UPDATE&amp;creator=factset&amp;DOC_NAME=fat:reuters_semi_source_window.fat&amp;display_string=Audit&amp;DYN_ARGS=TRUE&amp;VAR:ID1=B0N8QD&amp;VAR:RCODE=SCSI&amp;VAR:SDATE=20100399&amp;VAR:FREQ=FSA&amp;VAR:RELITEM=NOAUDIT&amp;VAR:CURRENCY=&amp;VAR:CURRSOURCE=EXSHAR","E&amp;VAR:NATFREQ=FSA&amp;VAR:RFIELD=FINALIZED&amp;VAR:DB_TYPE=&amp;VAR:UNITS=M&amp;window=popup&amp;width=450&amp;height=300&amp;START_MAXIMIZED=FALSE"}</definedName>
    <definedName name="_1338__FDSAUDITLINK__" localSheetId="0" hidden="1">{"fdsup://IBCentral/FAT Viewer?action=UPDATE&amp;creator=factset&amp;DOC_NAME=fat:reuters_annual_source_window.fat&amp;display_string=Audit&amp;DYN_ARGS=TRUE&amp;VAR:ID1=282388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38__FDSAUDITLINK__" hidden="1">{"fdsup://IBCentral/FAT Viewer?action=UPDATE&amp;creator=factset&amp;DOC_NAME=fat:reuters_annual_source_window.fat&amp;display_string=Audit&amp;DYN_ARGS=TRUE&amp;VAR:ID1=282388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39__FDSAUDITLINK__" localSheetId="0" hidden="1">{"fdsup://IBCentral/FAT Viewer?action=UPDATE&amp;creator=factset&amp;DOC_NAME=fat:reuters_annual_source_window.fat&amp;display_string=Audit&amp;DYN_ARGS=TRUE&amp;VAR:ID1=19122T10&amp;VAR:RCODE=SCSI&amp;VAR:SDATE=20091299&amp;VAR:FREQ=Y&amp;VAR:RELITEM=NOAUDIT&amp;VAR:CURRENCY=&amp;VAR:CURRSOURCE=EXSH","ARE&amp;VAR:NATFREQ=ANNUAL&amp;VAR:RFIELD=FINALIZED&amp;VAR:DB_TYPE=&amp;VAR:UNITS=M&amp;window=popup&amp;width=450&amp;height=300&amp;START_MAXIMIZED=FALSE"}</definedName>
    <definedName name="_1339__FDSAUDITLINK__" hidden="1">{"fdsup://IBCentral/FAT Viewer?action=UPDATE&amp;creator=factset&amp;DOC_NAME=fat:reuters_annual_source_window.fat&amp;display_string=Audit&amp;DYN_ARGS=TRUE&amp;VAR:ID1=19122T10&amp;VAR:RCODE=SCSI&amp;VAR:SDATE=20091299&amp;VAR:FREQ=Y&amp;VAR:RELITEM=NOAUDIT&amp;VAR:CURRENCY=&amp;VAR:CURRSOURCE=EXSH","ARE&amp;VAR:NATFREQ=ANNUAL&amp;VAR:RFIELD=FINALIZED&amp;VAR:DB_TYPE=&amp;VAR:UNITS=M&amp;window=popup&amp;width=450&amp;height=300&amp;START_MAXIMIZED=FALSE"}</definedName>
    <definedName name="_13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118"}</definedName>
    <definedName name="_134__FDSAUDITLINK__" hidden="1">{"fdsup://directions/FAT Viewer?action=UPDATE&amp;creator=factset&amp;DYN_ARGS=TRUE&amp;DOC_NAME=FAT:FQL_AUDITING_CLIENT_TEMPLATE.FAT&amp;display_string=Audit&amp;VAR:KEY=MDYLUZSXGD&amp;VAR:QUERY=RkZfUEUoQU5OLDIwMDksLCwsVVNEKQ==&amp;WINDOW=FIRST_POPUP&amp;HEIGHT=450&amp;WIDTH=450&amp;START_MAXIMI","ZED=FALSE&amp;VAR:CALENDAR=FIVEDAY&amp;VAR:SYMBOL=B5TWX8&amp;VAR:INDEX=0"}</definedName>
    <definedName name="_1340__FDSAUDITLINK__" localSheetId="0" hidden="1">{"fdsup://IBCentral/FAT Viewer?action=UPDATE&amp;creator=factset&amp;DOC_NAME=fat:reuters_annual_source_window.fat&amp;display_string=Audit&amp;DYN_ARGS=TRUE&amp;VAR:ID1=B058ZV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40__FDSAUDITLINK__" hidden="1">{"fdsup://IBCentral/FAT Viewer?action=UPDATE&amp;creator=factset&amp;DOC_NAME=fat:reuters_annual_source_window.fat&amp;display_string=Audit&amp;DYN_ARGS=TRUE&amp;VAR:ID1=B058ZV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41__FDSAUDITLINK__" localSheetId="0" hidden="1">{"fdsup://IBCentral/FAT Viewer?action=UPDATE&amp;creator=factset&amp;DOC_NAME=fat:reuters_annual_source_window.fat&amp;display_string=Audit&amp;DYN_ARGS=TRUE&amp;VAR:ID1=214189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41__FDSAUDITLINK__" hidden="1">{"fdsup://IBCentral/FAT Viewer?action=UPDATE&amp;creator=factset&amp;DOC_NAME=fat:reuters_annual_source_window.fat&amp;display_string=Audit&amp;DYN_ARGS=TRUE&amp;VAR:ID1=214189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42__FDSAUDITLINK__" localSheetId="0" hidden="1">{"fdsup://IBCentral/FAT Viewer?action=UPDATE&amp;creator=factset&amp;DOC_NAME=fat:reuters_annual_source_window.fat&amp;display_string=Audit&amp;DYN_ARGS=TRUE&amp;VAR:ID1=442072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42__FDSAUDITLINK__" hidden="1">{"fdsup://IBCentral/FAT Viewer?action=UPDATE&amp;creator=factset&amp;DOC_NAME=fat:reuters_annual_source_window.fat&amp;display_string=Audit&amp;DYN_ARGS=TRUE&amp;VAR:ID1=442072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43__FDSAUDITLINK__" localSheetId="0" hidden="1">{"fdsup://IBCentral/FAT Viewer?action=UPDATE&amp;creator=factset&amp;DOC_NAME=fat:reuters_qtrly_source_window.fat&amp;display_string=Audit&amp;DYN_ARGS=TRUE&amp;VAR:ID1=238136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43__FDSAUDITLINK__" hidden="1">{"fdsup://IBCentral/FAT Viewer?action=UPDATE&amp;creator=factset&amp;DOC_NAME=fat:reuters_qtrly_source_window.fat&amp;display_string=Audit&amp;DYN_ARGS=TRUE&amp;VAR:ID1=238136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44__FDSAUDITLINK__" localSheetId="0" hidden="1">{"fdsup://IBCentral/FAT Viewer?action=UPDATE&amp;creator=factset&amp;DOC_NAME=fat:reuters_qtrly_source_window.fat&amp;display_string=Audit&amp;DYN_ARGS=TRUE&amp;VAR:ID1=282388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44__FDSAUDITLINK__" hidden="1">{"fdsup://IBCentral/FAT Viewer?action=UPDATE&amp;creator=factset&amp;DOC_NAME=fat:reuters_qtrly_source_window.fat&amp;display_string=Audit&amp;DYN_ARGS=TRUE&amp;VAR:ID1=282388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45__FDSAUDITLINK__" localSheetId="0" hidden="1">{"fdsup://IBCentral/FAT Viewer?action=UPDATE&amp;creator=factset&amp;DOC_NAME=fat:reuters_qtrly_source_window.fat&amp;display_string=Audit&amp;DYN_ARGS=TRUE&amp;VAR:ID1=19122T10&amp;VAR:RCODE=STLD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45__FDSAUDITLINK__" hidden="1">{"fdsup://IBCentral/FAT Viewer?action=UPDATE&amp;creator=factset&amp;DOC_NAME=fat:reuters_qtrly_source_window.fat&amp;display_string=Audit&amp;DYN_ARGS=TRUE&amp;VAR:ID1=19122T10&amp;VAR:RCODE=STLD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46__FDSAUDITLINK__" localSheetId="0" hidden="1">{"fdsup://IBCentral/FAT Viewer?action=UPDATE&amp;creator=factset&amp;DOC_NAME=fat:reuters_qtrly_source_window.fat&amp;display_string=Audit&amp;DYN_ARGS=TRUE&amp;VAR:ID1=B058ZV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46__FDSAUDITLINK__" hidden="1">{"fdsup://IBCentral/FAT Viewer?action=UPDATE&amp;creator=factset&amp;DOC_NAME=fat:reuters_qtrly_source_window.fat&amp;display_string=Audit&amp;DYN_ARGS=TRUE&amp;VAR:ID1=B058ZV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47__FDSAUDITLINK__" localSheetId="0" hidden="1">{"fdsup://IBCentral/FAT Viewer?action=UPDATE&amp;creator=factset&amp;DOC_NAME=fat:reuters_qtrly_source_window.fat&amp;display_string=Audit&amp;DYN_ARGS=TRUE&amp;VAR:ID1=214189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47__FDSAUDITLINK__" hidden="1">{"fdsup://IBCentral/FAT Viewer?action=UPDATE&amp;creator=factset&amp;DOC_NAME=fat:reuters_qtrly_source_window.fat&amp;display_string=Audit&amp;DYN_ARGS=TRUE&amp;VAR:ID1=214189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48__FDSAUDITLINK__" localSheetId="0" hidden="1">{"fdsup://IBCentral/FAT Viewer?action=UPDATE&amp;creator=factset&amp;DOC_NAME=fat:reuters_qtrly_source_window.fat&amp;display_string=Audit&amp;DYN_ARGS=TRUE&amp;VAR:ID1=442072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48__FDSAUDITLINK__" hidden="1">{"fdsup://IBCentral/FAT Viewer?action=UPDATE&amp;creator=factset&amp;DOC_NAME=fat:reuters_qtrly_source_window.fat&amp;display_string=Audit&amp;DYN_ARGS=TRUE&amp;VAR:ID1=442072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49__FDSAUDITLINK__" localSheetId="0" hidden="1">{"fdsup://IBCentral/FAT Viewer?action=UPDATE&amp;creator=factset&amp;DOC_NAME=fat:reuters_qtrly_source_window.fat&amp;display_string=Audit&amp;DYN_ARGS=TRUE&amp;VAR:ID1=238136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49__FDSAUDITLINK__" hidden="1">{"fdsup://IBCentral/FAT Viewer?action=UPDATE&amp;creator=factset&amp;DOC_NAME=fat:reuters_qtrly_source_window.fat&amp;display_string=Audit&amp;DYN_ARGS=TRUE&amp;VAR:ID1=238136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117"}</definedName>
    <definedName name="_135__FDSAUDITLINK__" hidden="1">{"fdsup://directions/FAT Viewer?action=UPDATE&amp;creator=factset&amp;DYN_ARGS=TRUE&amp;DOC_NAME=FAT:FQL_AUDITING_CLIENT_TEMPLATE.FAT&amp;display_string=Audit&amp;VAR:KEY=OHCDURIVUR&amp;VAR:QUERY=RkZfUEUoQU5OLDIwMTAsLCwsVVNEKQ==&amp;WINDOW=FIRST_POPUP&amp;HEIGHT=450&amp;WIDTH=450&amp;START_MAXIMI","ZED=FALSE&amp;VAR:CALENDAR=FIVEDAY&amp;VAR:SYMBOL=B59Q6G&amp;VAR:INDEX=0"}</definedName>
    <definedName name="_1350__FDSAUDITLINK__" localSheetId="0" hidden="1">{"fdsup://IBCentral/FAT Viewer?action=UPDATE&amp;creator=factset&amp;DOC_NAME=fat:reuters_qtrly_source_window.fat&amp;display_string=Audit&amp;DYN_ARGS=TRUE&amp;VAR:ID1=282388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0__FDSAUDITLINK__" hidden="1">{"fdsup://IBCentral/FAT Viewer?action=UPDATE&amp;creator=factset&amp;DOC_NAME=fat:reuters_qtrly_source_window.fat&amp;display_string=Audit&amp;DYN_ARGS=TRUE&amp;VAR:ID1=282388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1__FDSAUDITLINK__" localSheetId="0" hidden="1">{"fdsup://IBCentral/FAT Viewer?action=UPDATE&amp;creator=factset&amp;DOC_NAME=fat:reuters_qtrly_source_window.fat&amp;display_string=Audit&amp;DYN_ARGS=TRUE&amp;VAR:ID1=19122T10&amp;VAR:RCODE=SCSI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51__FDSAUDITLINK__" hidden="1">{"fdsup://IBCentral/FAT Viewer?action=UPDATE&amp;creator=factset&amp;DOC_NAME=fat:reuters_qtrly_source_window.fat&amp;display_string=Audit&amp;DYN_ARGS=TRUE&amp;VAR:ID1=19122T10&amp;VAR:RCODE=SCSI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52__FDSAUDITLINK__" localSheetId="0" hidden="1">{"fdsup://IBCentral/FAT Viewer?action=UPDATE&amp;creator=factset&amp;DOC_NAME=fat:reuters_qtrly_source_window.fat&amp;display_string=Audit&amp;DYN_ARGS=TRUE&amp;VAR:ID1=B058ZV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2__FDSAUDITLINK__" hidden="1">{"fdsup://IBCentral/FAT Viewer?action=UPDATE&amp;creator=factset&amp;DOC_NAME=fat:reuters_qtrly_source_window.fat&amp;display_string=Audit&amp;DYN_ARGS=TRUE&amp;VAR:ID1=B058ZV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3__FDSAUDITLINK__" localSheetId="0" hidden="1">{"fdsup://IBCentral/FAT Viewer?action=UPDATE&amp;creator=factset&amp;DOC_NAME=fat:reuters_qtrly_source_window.fat&amp;display_string=Audit&amp;DYN_ARGS=TRUE&amp;VAR:ID1=214189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3__FDSAUDITLINK__" hidden="1">{"fdsup://IBCentral/FAT Viewer?action=UPDATE&amp;creator=factset&amp;DOC_NAME=fat:reuters_qtrly_source_window.fat&amp;display_string=Audit&amp;DYN_ARGS=TRUE&amp;VAR:ID1=214189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4__FDSAUDITLINK__" localSheetId="0" hidden="1">{"fdsup://IBCentral/FAT Viewer?action=UPDATE&amp;creator=factset&amp;DOC_NAME=fat:reuters_qtrly_source_window.fat&amp;display_string=Audit&amp;DYN_ARGS=TRUE&amp;VAR:ID1=442072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4__FDSAUDITLINK__" hidden="1">{"fdsup://IBCentral/FAT Viewer?action=UPDATE&amp;creator=factset&amp;DOC_NAME=fat:reuters_qtrly_source_window.fat&amp;display_string=Audit&amp;DYN_ARGS=TRUE&amp;VAR:ID1=442072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5__FDSAUDITLINK__" localSheetId="0" hidden="1">{"fdsup://IBCentral/FAT Viewer?action=UPDATE&amp;creator=factset&amp;DOC_NAME=fat:reuters_qtrly_source_window.fat&amp;display_string=Audit&amp;DYN_ARGS=TRUE&amp;VAR:ID1=238136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5__FDSAUDITLINK__" hidden="1">{"fdsup://IBCentral/FAT Viewer?action=UPDATE&amp;creator=factset&amp;DOC_NAME=fat:reuters_qtrly_source_window.fat&amp;display_string=Audit&amp;DYN_ARGS=TRUE&amp;VAR:ID1=238136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6__FDSAUDITLINK__" localSheetId="0" hidden="1">{"fdsup://IBCentral/FAT Viewer?action=UPDATE&amp;creator=factset&amp;DOC_NAME=fat:reuters_qtrly_source_window.fat&amp;display_string=Audit&amp;DYN_ARGS=TRUE&amp;VAR:ID1=282388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6__FDSAUDITLINK__" hidden="1">{"fdsup://IBCentral/FAT Viewer?action=UPDATE&amp;creator=factset&amp;DOC_NAME=fat:reuters_qtrly_source_window.fat&amp;display_string=Audit&amp;DYN_ARGS=TRUE&amp;VAR:ID1=282388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7__FDSAUDITLINK__" localSheetId="0" hidden="1">{"fdsup://IBCentral/FAT Viewer?action=UPDATE&amp;creator=factset&amp;DOC_NAME=fat:reuters_qtrly_source_window.fat&amp;display_string=Audit&amp;DYN_ARGS=TRUE&amp;VAR:ID1=19122T10&amp;VAR:RCODE=STLD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57__FDSAUDITLINK__" hidden="1">{"fdsup://IBCentral/FAT Viewer?action=UPDATE&amp;creator=factset&amp;DOC_NAME=fat:reuters_qtrly_source_window.fat&amp;display_string=Audit&amp;DYN_ARGS=TRUE&amp;VAR:ID1=19122T10&amp;VAR:RCODE=STLD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58__FDSAUDITLINK__" localSheetId="0" hidden="1">{"fdsup://IBCentral/FAT Viewer?action=UPDATE&amp;creator=factset&amp;DOC_NAME=fat:reuters_qtrly_source_window.fat&amp;display_string=Audit&amp;DYN_ARGS=TRUE&amp;VAR:ID1=B058ZV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8__FDSAUDITLINK__" hidden="1">{"fdsup://IBCentral/FAT Viewer?action=UPDATE&amp;creator=factset&amp;DOC_NAME=fat:reuters_qtrly_source_window.fat&amp;display_string=Audit&amp;DYN_ARGS=TRUE&amp;VAR:ID1=B058ZV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9__FDSAUDITLINK__" localSheetId="0" hidden="1">{"fdsup://IBCentral/FAT Viewer?action=UPDATE&amp;creator=factset&amp;DOC_NAME=fat:reuters_qtrly_source_window.fat&amp;display_string=Audit&amp;DYN_ARGS=TRUE&amp;VAR:ID1=214189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59__FDSAUDITLINK__" hidden="1">{"fdsup://IBCentral/FAT Viewer?action=UPDATE&amp;creator=factset&amp;DOC_NAME=fat:reuters_qtrly_source_window.fat&amp;display_string=Audit&amp;DYN_ARGS=TRUE&amp;VAR:ID1=214189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116"}</definedName>
    <definedName name="_136__FDSAUDITLINK__" hidden="1">{"fdsup://directions/FAT Viewer?action=UPDATE&amp;creator=factset&amp;DYN_ARGS=TRUE&amp;DOC_NAME=FAT:FQL_AUDITING_CLIENT_TEMPLATE.FAT&amp;display_string=Audit&amp;VAR:KEY=YZWLIRIVKH&amp;VAR:QUERY=RkZfUEUoQU5OLDIwMDksLCwsVVNEKQ==&amp;WINDOW=FIRST_POPUP&amp;HEIGHT=450&amp;WIDTH=450&amp;START_MAXIMI","ZED=FALSE&amp;VAR:CALENDAR=FIVEDAY&amp;VAR:SYMBOL=B59Q6G&amp;VAR:INDEX=0"}</definedName>
    <definedName name="_1360__FDSAUDITLINK__" localSheetId="0" hidden="1">{"fdsup://IBCentral/FAT Viewer?action=UPDATE&amp;creator=factset&amp;DOC_NAME=fat:reuters_qtrly_source_window.fat&amp;display_string=Audit&amp;DYN_ARGS=TRUE&amp;VAR:ID1=442072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0__FDSAUDITLINK__" hidden="1">{"fdsup://IBCentral/FAT Viewer?action=UPDATE&amp;creator=factset&amp;DOC_NAME=fat:reuters_qtrly_source_window.fat&amp;display_string=Audit&amp;DYN_ARGS=TRUE&amp;VAR:ID1=442072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1__FDSAUDITLINK__" localSheetId="0" hidden="1">{"fdsup://IBCentral/FAT Viewer?action=UPDATE&amp;creator=factset&amp;DOC_NAME=fat:reuters_qtrly_source_window.fat&amp;display_string=Audit&amp;DYN_ARGS=TRUE&amp;VAR:ID1=238136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1__FDSAUDITLINK__" hidden="1">{"fdsup://IBCentral/FAT Viewer?action=UPDATE&amp;creator=factset&amp;DOC_NAME=fat:reuters_qtrly_source_window.fat&amp;display_string=Audit&amp;DYN_ARGS=TRUE&amp;VAR:ID1=238136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2__FDSAUDITLINK__" localSheetId="0" hidden="1">{"fdsup://IBCentral/FAT Viewer?action=UPDATE&amp;creator=factset&amp;DOC_NAME=fat:reuters_qtrly_source_window.fat&amp;display_string=Audit&amp;DYN_ARGS=TRUE&amp;VAR:ID1=282388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2__FDSAUDITLINK__" hidden="1">{"fdsup://IBCentral/FAT Viewer?action=UPDATE&amp;creator=factset&amp;DOC_NAME=fat:reuters_qtrly_source_window.fat&amp;display_string=Audit&amp;DYN_ARGS=TRUE&amp;VAR:ID1=282388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3__FDSAUDITLINK__" localSheetId="0" hidden="1">{"fdsup://IBCentral/FAT Viewer?action=UPDATE&amp;creator=factset&amp;DOC_NAME=fat:reuters_qtrly_source_window.fat&amp;display_string=Audit&amp;DYN_ARGS=TRUE&amp;VAR:ID1=19122T10&amp;VAR:RCODE=SCSI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63__FDSAUDITLINK__" hidden="1">{"fdsup://IBCentral/FAT Viewer?action=UPDATE&amp;creator=factset&amp;DOC_NAME=fat:reuters_qtrly_source_window.fat&amp;display_string=Audit&amp;DYN_ARGS=TRUE&amp;VAR:ID1=19122T10&amp;VAR:RCODE=SCSI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64__FDSAUDITLINK__" localSheetId="0" hidden="1">{"fdsup://IBCentral/FAT Viewer?action=UPDATE&amp;creator=factset&amp;DOC_NAME=fat:reuters_qtrly_source_window.fat&amp;display_string=Audit&amp;DYN_ARGS=TRUE&amp;VAR:ID1=B058ZV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4__FDSAUDITLINK__" hidden="1">{"fdsup://IBCentral/FAT Viewer?action=UPDATE&amp;creator=factset&amp;DOC_NAME=fat:reuters_qtrly_source_window.fat&amp;display_string=Audit&amp;DYN_ARGS=TRUE&amp;VAR:ID1=B058ZV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5__FDSAUDITLINK__" localSheetId="0" hidden="1">{"fdsup://IBCentral/FAT Viewer?action=UPDATE&amp;creator=factset&amp;DOC_NAME=fat:reuters_qtrly_source_window.fat&amp;display_string=Audit&amp;DYN_ARGS=TRUE&amp;VAR:ID1=214189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5__FDSAUDITLINK__" hidden="1">{"fdsup://IBCentral/FAT Viewer?action=UPDATE&amp;creator=factset&amp;DOC_NAME=fat:reuters_qtrly_source_window.fat&amp;display_string=Audit&amp;DYN_ARGS=TRUE&amp;VAR:ID1=214189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6__FDSAUDITLINK__" localSheetId="0" hidden="1">{"fdsup://IBCentral/FAT Viewer?action=UPDATE&amp;creator=factset&amp;DOC_NAME=fat:reuters_qtrly_source_window.fat&amp;display_string=Audit&amp;DYN_ARGS=TRUE&amp;VAR:ID1=442072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6__FDSAUDITLINK__" hidden="1">{"fdsup://IBCentral/FAT Viewer?action=UPDATE&amp;creator=factset&amp;DOC_NAME=fat:reuters_qtrly_source_window.fat&amp;display_string=Audit&amp;DYN_ARGS=TRUE&amp;VAR:ID1=442072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7__FDSAUDITLINK__" localSheetId="0" hidden="1">{"fdsup://IBCentral/FAT Viewer?action=UPDATE&amp;creator=factset&amp;DOC_NAME=fat:reuters_qtrly_source_window.fat&amp;display_string=Audit&amp;DYN_ARGS=TRUE&amp;VAR:ID1=238136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7__FDSAUDITLINK__" hidden="1">{"fdsup://IBCentral/FAT Viewer?action=UPDATE&amp;creator=factset&amp;DOC_NAME=fat:reuters_qtrly_source_window.fat&amp;display_string=Audit&amp;DYN_ARGS=TRUE&amp;VAR:ID1=238136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8__FDSAUDITLINK__" localSheetId="0" hidden="1">{"fdsup://IBCentral/FAT Viewer?action=UPDATE&amp;creator=factset&amp;DOC_NAME=fat:reuters_qtrly_source_window.fat&amp;display_string=Audit&amp;DYN_ARGS=TRUE&amp;VAR:ID1=282388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8__FDSAUDITLINK__" hidden="1">{"fdsup://IBCentral/FAT Viewer?action=UPDATE&amp;creator=factset&amp;DOC_NAME=fat:reuters_qtrly_source_window.fat&amp;display_string=Audit&amp;DYN_ARGS=TRUE&amp;VAR:ID1=282388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69__FDSAUDITLINK__" localSheetId="0" hidden="1">{"fdsup://IBCentral/FAT Viewer?action=UPDATE&amp;creator=factset&amp;DOC_NAME=fat:reuters_qtrly_source_window.fat&amp;display_string=Audit&amp;DYN_ARGS=TRUE&amp;VAR:ID1=19122T10&amp;VAR:RCODE=STLD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69__FDSAUDITLINK__" hidden="1">{"fdsup://IBCentral/FAT Viewer?action=UPDATE&amp;creator=factset&amp;DOC_NAME=fat:reuters_qtrly_source_window.fat&amp;display_string=Audit&amp;DYN_ARGS=TRUE&amp;VAR:ID1=19122T10&amp;VAR:RCODE=STLD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115"}</definedName>
    <definedName name="_137__FDSAUDITLINK__" hidden="1">{"fdsup://directions/FAT Viewer?action=UPDATE&amp;creator=factset&amp;DYN_ARGS=TRUE&amp;DOC_NAME=FAT:FQL_AUDITING_CLIENT_TEMPLATE.FAT&amp;display_string=Audit&amp;VAR:KEY=ERYNKLALSX&amp;VAR:QUERY=RkZfUEUoQU5OLDIwMTAsLCwsVVNEKQ==&amp;WINDOW=FIRST_POPUP&amp;HEIGHT=450&amp;WIDTH=450&amp;START_MAXIMI","ZED=FALSE&amp;VAR:CALENDAR=FIVEDAY&amp;VAR:SYMBOL=B59F84&amp;VAR:INDEX=0"}</definedName>
    <definedName name="_1370__FDSAUDITLINK__" localSheetId="0" hidden="1">{"fdsup://IBCentral/FAT Viewer?action=UPDATE&amp;creator=factset&amp;DOC_NAME=fat:reuters_qtrly_source_window.fat&amp;display_string=Audit&amp;DYN_ARGS=TRUE&amp;VAR:ID1=B058ZV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0__FDSAUDITLINK__" hidden="1">{"fdsup://IBCentral/FAT Viewer?action=UPDATE&amp;creator=factset&amp;DOC_NAME=fat:reuters_qtrly_source_window.fat&amp;display_string=Audit&amp;DYN_ARGS=TRUE&amp;VAR:ID1=B058ZV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1__FDSAUDITLINK__" localSheetId="0" hidden="1">{"fdsup://IBCentral/FAT Viewer?action=UPDATE&amp;creator=factset&amp;DOC_NAME=fat:reuters_qtrly_source_window.fat&amp;display_string=Audit&amp;DYN_ARGS=TRUE&amp;VAR:ID1=214189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1__FDSAUDITLINK__" hidden="1">{"fdsup://IBCentral/FAT Viewer?action=UPDATE&amp;creator=factset&amp;DOC_NAME=fat:reuters_qtrly_source_window.fat&amp;display_string=Audit&amp;DYN_ARGS=TRUE&amp;VAR:ID1=214189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2__FDSAUDITLINK__" localSheetId="0" hidden="1">{"fdsup://IBCentral/FAT Viewer?action=UPDATE&amp;creator=factset&amp;DOC_NAME=fat:reuters_qtrly_source_window.fat&amp;display_string=Audit&amp;DYN_ARGS=TRUE&amp;VAR:ID1=442072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2__FDSAUDITLINK__" hidden="1">{"fdsup://IBCentral/FAT Viewer?action=UPDATE&amp;creator=factset&amp;DOC_NAME=fat:reuters_qtrly_source_window.fat&amp;display_string=Audit&amp;DYN_ARGS=TRUE&amp;VAR:ID1=442072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3__FDSAUDITLINK__" localSheetId="0" hidden="1">{"fdsup://IBCentral/FAT Viewer?action=UPDATE&amp;creator=factset&amp;DOC_NAME=fat:reuters_qtrly_source_window.fat&amp;display_string=Audit&amp;DYN_ARGS=TRUE&amp;VAR:ID1=238136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3__FDSAUDITLINK__" hidden="1">{"fdsup://IBCentral/FAT Viewer?action=UPDATE&amp;creator=factset&amp;DOC_NAME=fat:reuters_qtrly_source_window.fat&amp;display_string=Audit&amp;DYN_ARGS=TRUE&amp;VAR:ID1=238136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4__FDSAUDITLINK__" localSheetId="0" hidden="1">{"fdsup://IBCentral/FAT Viewer?action=UPDATE&amp;creator=factset&amp;DOC_NAME=fat:reuters_qtrly_source_window.fat&amp;display_string=Audit&amp;DYN_ARGS=TRUE&amp;VAR:ID1=282388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4__FDSAUDITLINK__" hidden="1">{"fdsup://IBCentral/FAT Viewer?action=UPDATE&amp;creator=factset&amp;DOC_NAME=fat:reuters_qtrly_source_window.fat&amp;display_string=Audit&amp;DYN_ARGS=TRUE&amp;VAR:ID1=282388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5__FDSAUDITLINK__" localSheetId="0" hidden="1">{"fdsup://IBCentral/FAT Viewer?action=UPDATE&amp;creator=factset&amp;DOC_NAME=fat:reuters_qtrly_source_window.fat&amp;display_string=Audit&amp;DYN_ARGS=TRUE&amp;VAR:ID1=19122T10&amp;VAR:RCODE=SCSI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75__FDSAUDITLINK__" hidden="1">{"fdsup://IBCentral/FAT Viewer?action=UPDATE&amp;creator=factset&amp;DOC_NAME=fat:reuters_qtrly_source_window.fat&amp;display_string=Audit&amp;DYN_ARGS=TRUE&amp;VAR:ID1=19122T10&amp;VAR:RCODE=SCSI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376__FDSAUDITLINK__" localSheetId="0" hidden="1">{"fdsup://IBCentral/FAT Viewer?action=UPDATE&amp;creator=factset&amp;DOC_NAME=fat:reuters_qtrly_source_window.fat&amp;display_string=Audit&amp;DYN_ARGS=TRUE&amp;VAR:ID1=B058ZV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6__FDSAUDITLINK__" hidden="1">{"fdsup://IBCentral/FAT Viewer?action=UPDATE&amp;creator=factset&amp;DOC_NAME=fat:reuters_qtrly_source_window.fat&amp;display_string=Audit&amp;DYN_ARGS=TRUE&amp;VAR:ID1=B058ZV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7__FDSAUDITLINK__" localSheetId="0" hidden="1">{"fdsup://IBCentral/FAT Viewer?action=UPDATE&amp;creator=factset&amp;DOC_NAME=fat:reuters_qtrly_source_window.fat&amp;display_string=Audit&amp;DYN_ARGS=TRUE&amp;VAR:ID1=214189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7__FDSAUDITLINK__" hidden="1">{"fdsup://IBCentral/FAT Viewer?action=UPDATE&amp;creator=factset&amp;DOC_NAME=fat:reuters_qtrly_source_window.fat&amp;display_string=Audit&amp;DYN_ARGS=TRUE&amp;VAR:ID1=214189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8__FDSAUDITLINK__" localSheetId="0" hidden="1">{"fdsup://IBCentral/FAT Viewer?action=UPDATE&amp;creator=factset&amp;DOC_NAME=fat:reuters_qtrly_source_window.fat&amp;display_string=Audit&amp;DYN_ARGS=TRUE&amp;VAR:ID1=442072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8__FDSAUDITLINK__" hidden="1">{"fdsup://IBCentral/FAT Viewer?action=UPDATE&amp;creator=factset&amp;DOC_NAME=fat:reuters_qtrly_source_window.fat&amp;display_string=Audit&amp;DYN_ARGS=TRUE&amp;VAR:ID1=442072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79__FDSAUDITLINK__" localSheetId="0" hidden="1">{"fdsup://IBCentral/FAT Viewer?action=UPDATE&amp;creator=factset&amp;DOC_NAME=fat:reuters_annual_source_window.fat&amp;display_string=Audit&amp;DYN_ARGS=TRUE&amp;VAR:ID1=610158&amp;VAR:RCODE=QTLE&amp;VAR:SDATE=20100399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79__FDSAUDITLINK__" hidden="1">{"fdsup://IBCentral/FAT Viewer?action=UPDATE&amp;creator=factset&amp;DOC_NAME=fat:reuters_annual_source_window.fat&amp;display_string=Audit&amp;DYN_ARGS=TRUE&amp;VAR:ID1=610158&amp;VAR:RCODE=QTLE&amp;VAR:SDATE=20100399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114"}</definedName>
    <definedName name="_138__FDSAUDITLINK__" hidden="1">{"fdsup://directions/FAT Viewer?action=UPDATE&amp;creator=factset&amp;DYN_ARGS=TRUE&amp;DOC_NAME=FAT:FQL_AUDITING_CLIENT_TEMPLATE.FAT&amp;display_string=Audit&amp;VAR:KEY=WXMZEVINIL&amp;VAR:QUERY=RkZfUEUoQU5OLDIwMDksLCwsVVNEKQ==&amp;WINDOW=FIRST_POPUP&amp;HEIGHT=450&amp;WIDTH=450&amp;START_MAXIMI","ZED=FALSE&amp;VAR:CALENDAR=FIVEDAY&amp;VAR:SYMBOL=B59F84&amp;VAR:INDEX=0"}</definedName>
    <definedName name="_1380__FDSAUDITLINK__" localSheetId="0" hidden="1">{"fdsup://IBCentral/FAT Viewer?action=UPDATE&amp;creator=factset&amp;DOC_NAME=fat:reuters_annual_source_window.fat&amp;display_string=Audit&amp;DYN_ARGS=TRUE&amp;VAR:ID1=610158&amp;VAR:RCODE=CMNEQ&amp;VAR:SDATE=20100399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80__FDSAUDITLINK__" hidden="1">{"fdsup://IBCentral/FAT Viewer?action=UPDATE&amp;creator=factset&amp;DOC_NAME=fat:reuters_annual_source_window.fat&amp;display_string=Audit&amp;DYN_ARGS=TRUE&amp;VAR:ID1=610158&amp;VAR:RCODE=CMNEQ&amp;VAR:SDATE=20100399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81__FDSAUDITLINK__" localSheetId="0" hidden="1">{"fdsup://IBCentral/FAT Viewer?action=UPDATE&amp;creator=factset&amp;DOC_NAME=fat:reuters_annual_source_window.fat&amp;display_string=Audit&amp;DYN_ARGS=TRUE&amp;VAR:ID1=610158&amp;VAR:RCODE=STLD&amp;VAR:SDATE=20100399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81__FDSAUDITLINK__" hidden="1">{"fdsup://IBCentral/FAT Viewer?action=UPDATE&amp;creator=factset&amp;DOC_NAME=fat:reuters_annual_source_window.fat&amp;display_string=Audit&amp;DYN_ARGS=TRUE&amp;VAR:ID1=610158&amp;VAR:RCODE=STLD&amp;VAR:SDATE=20100399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82__FDSAUDITLINK__" localSheetId="0" hidden="1">{"fdsup://IBCentral/FAT Viewer?action=UPDATE&amp;creator=factset&amp;DOC_NAME=fat:reuters_annual_source_window.fat&amp;display_string=Audit&amp;DYN_ARGS=TRUE&amp;VAR:ID1=610158&amp;VAR:RCODE=SCSI&amp;VAR:SDATE=20100399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82__FDSAUDITLINK__" hidden="1">{"fdsup://IBCentral/FAT Viewer?action=UPDATE&amp;creator=factset&amp;DOC_NAME=fat:reuters_annual_source_window.fat&amp;display_string=Audit&amp;DYN_ARGS=TRUE&amp;VAR:ID1=610158&amp;VAR:RCODE=SCSI&amp;VAR:SDATE=20100399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83__FDSAUDITLINK__" localSheetId="0" hidden="1">{"fdsup://IBCentral/FAT Viewer?action=UPDATE&amp;creator=factset&amp;DOC_NAME=fat:reuters_annual_source_window.fat&amp;display_string=Audit&amp;DYN_ARGS=TRUE&amp;VAR:ID1=B08YDG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83__FDSAUDITLINK__" hidden="1">{"fdsup://IBCentral/FAT Viewer?action=UPDATE&amp;creator=factset&amp;DOC_NAME=fat:reuters_annual_source_window.fat&amp;display_string=Audit&amp;DYN_ARGS=TRUE&amp;VAR:ID1=B08YDG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84__FDSAUDITLINK__" localSheetId="0" hidden="1">{"fdsup://IBCentral/FAT Viewer?action=UPDATE&amp;creator=factset&amp;DOC_NAME=fat:reuters_qtrly_source_window.fat&amp;display_string=Audit&amp;DYN_ARGS=TRUE&amp;VAR:ID1=B08YDG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84__FDSAUDITLINK__" hidden="1">{"fdsup://IBCentral/FAT Viewer?action=UPDATE&amp;creator=factset&amp;DOC_NAME=fat:reuters_qtrly_source_window.fat&amp;display_string=Audit&amp;DYN_ARGS=TRUE&amp;VAR:ID1=B08YDG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85__FDSAUDITLINK__" localSheetId="0" hidden="1">{"fdsup://IBCentral/FAT Viewer?action=UPDATE&amp;creator=factset&amp;DOC_NAME=fat:reuters_annual_source_window.fat&amp;display_string=Audit&amp;DYN_ARGS=TRUE&amp;VAR:ID1=B08YDG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85__FDSAUDITLINK__" hidden="1">{"fdsup://IBCentral/FAT Viewer?action=UPDATE&amp;creator=factset&amp;DOC_NAME=fat:reuters_annual_source_window.fat&amp;display_string=Audit&amp;DYN_ARGS=TRUE&amp;VAR:ID1=B08YDG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86__FDSAUDITLINK__" localSheetId="0" hidden="1">{"fdsup://IBCentral/FAT Viewer?action=UPDATE&amp;creator=factset&amp;DOC_NAME=fat:reuters_qtrly_source_window.fat&amp;display_string=Audit&amp;DYN_ARGS=TRUE&amp;VAR:ID1=B08YDG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86__FDSAUDITLINK__" hidden="1">{"fdsup://IBCentral/FAT Viewer?action=UPDATE&amp;creator=factset&amp;DOC_NAME=fat:reuters_qtrly_source_window.fat&amp;display_string=Audit&amp;DYN_ARGS=TRUE&amp;VAR:ID1=B08YDG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87__FDSAUDITLINK__" localSheetId="0" hidden="1">{"fdsup://IBCentral/FAT Viewer?action=UPDATE&amp;creator=factset&amp;DOC_NAME=fat:reuters_annual_source_window.fat&amp;display_string=Audit&amp;DYN_ARGS=TRUE&amp;VAR:ID1=641086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87__FDSAUDITLINK__" hidden="1">{"fdsup://IBCentral/FAT Viewer?action=UPDATE&amp;creator=factset&amp;DOC_NAME=fat:reuters_annual_source_window.fat&amp;display_string=Audit&amp;DYN_ARGS=TRUE&amp;VAR:ID1=641086&amp;VAR:RCODE=QTLE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88__FDSAUDITLINK__" localSheetId="0" hidden="1">{"fdsup://IBCentral/FAT Viewer?action=UPDATE&amp;creator=factset&amp;DOC_NAME=fat:reuters_qtrly_source_window.fat&amp;display_string=Audit&amp;DYN_ARGS=TRUE&amp;VAR:ID1=641086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88__FDSAUDITLINK__" hidden="1">{"fdsup://IBCentral/FAT Viewer?action=UPDATE&amp;creator=factset&amp;DOC_NAME=fat:reuters_qtrly_source_window.fat&amp;display_string=Audit&amp;DYN_ARGS=TRUE&amp;VAR:ID1=641086&amp;VAR:RCODE=QTLE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89__FDSAUDITLINK__" localSheetId="0" hidden="1">{"fdsup://IBCentral/FAT Viewer?action=UPDATE&amp;creator=factset&amp;DOC_NAME=fat:reuters_annual_source_window.fat&amp;display_string=Audit&amp;DYN_ARGS=TRUE&amp;VAR:ID1=641086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89__FDSAUDITLINK__" hidden="1">{"fdsup://IBCentral/FAT Viewer?action=UPDATE&amp;creator=factset&amp;DOC_NAME=fat:reuters_annual_source_window.fat&amp;display_string=Audit&amp;DYN_ARGS=TRUE&amp;VAR:ID1=641086&amp;VAR:RCODE=CMNEQ&amp;VAR:SDATE=20091299&amp;VAR:FREQ=Y&amp;VAR:RELITEM=NOAUDIT&amp;VAR:CURRENCY=&amp;VAR:CURRSOURCE=EXSHA","RE&amp;VAR:NATFREQ=ANNUAL&amp;VAR:RFIELD=FINALIZED&amp;VAR:DB_TYPE=&amp;VAR:UNITS=M&amp;window=popup&amp;width=450&amp;height=300&amp;START_MAXIMIZED=FALSE"}</definedName>
    <definedName name="_13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113"}</definedName>
    <definedName name="_139__FDSAUDITLINK__" hidden="1">{"fdsup://directions/FAT Viewer?action=UPDATE&amp;creator=factset&amp;DYN_ARGS=TRUE&amp;DOC_NAME=FAT:FQL_AUDITING_CLIENT_TEMPLATE.FAT&amp;display_string=Audit&amp;VAR:KEY=SXOJCTCLAN&amp;VAR:QUERY=RkZfUEUoQU5OLDIwMTAsLCwsVVNEKQ==&amp;WINDOW=FIRST_POPUP&amp;HEIGHT=450&amp;WIDTH=450&amp;START_MAXIMI","ZED=FALSE&amp;VAR:CALENDAR=FIVEDAY&amp;VAR:SYMBOL=B5B8GW&amp;VAR:INDEX=0"}</definedName>
    <definedName name="_1390__FDSAUDITLINK__" localSheetId="0" hidden="1">{"fdsup://IBCentral/FAT Viewer?action=UPDATE&amp;creator=factset&amp;DOC_NAME=fat:reuters_qtrly_source_window.fat&amp;display_string=Audit&amp;DYN_ARGS=TRUE&amp;VAR:ID1=641086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90__FDSAUDITLINK__" hidden="1">{"fdsup://IBCentral/FAT Viewer?action=UPDATE&amp;creator=factset&amp;DOC_NAME=fat:reuters_qtrly_source_window.fat&amp;display_string=Audit&amp;DYN_ARGS=TRUE&amp;VAR:ID1=641086&amp;VAR:RCODE=CMNEQ&amp;VAR:SDATE=20100999&amp;VAR:FREQ=Quarterly&amp;VAR:RELITEM=NOAUDIT&amp;VAR:CURRENCY=&amp;VAR:CURRSOURC","E=EXSHARE&amp;VAR:NATFREQ=QUARTERLY&amp;VAR:RFIELD=FINALIZED&amp;VAR:DB_TYPE=&amp;VAR:UNITS=M&amp;window=popup&amp;width=450&amp;height=300&amp;START_MAXIMIZED=FALSE"}</definedName>
    <definedName name="_1391__FDSAUDITLINK__" localSheetId="0" hidden="1">{"fdsup://IBCentral/FAT Viewer?action=UPDATE&amp;creator=factset&amp;DOC_NAME=fat:reuters_qtrly_source_window.fat&amp;display_string=Audit&amp;DYN_ARGS=TRUE&amp;VAR:ID1=B08YDG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91__FDSAUDITLINK__" hidden="1">{"fdsup://IBCentral/FAT Viewer?action=UPDATE&amp;creator=factset&amp;DOC_NAME=fat:reuters_qtrly_source_window.fat&amp;display_string=Audit&amp;DYN_ARGS=TRUE&amp;VAR:ID1=B08YDG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92__FDSAUDITLINK__" localSheetId="0" hidden="1">{"fdsup://IBCentral/FAT Viewer?action=UPDATE&amp;creator=factset&amp;DOC_NAME=fat:reuters_annual_source_window.fat&amp;display_string=Audit&amp;DYN_ARGS=TRUE&amp;VAR:ID1=B08YDG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92__FDSAUDITLINK__" hidden="1">{"fdsup://IBCentral/FAT Viewer?action=UPDATE&amp;creator=factset&amp;DOC_NAME=fat:reuters_annual_source_window.fat&amp;display_string=Audit&amp;DYN_ARGS=TRUE&amp;VAR:ID1=B08YDG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93__FDSAUDITLINK__" localSheetId="0" hidden="1">{"fdsup://IBCentral/FAT Viewer?action=UPDATE&amp;creator=factset&amp;DOC_NAME=fat:reuters_qtrly_source_window.fat&amp;display_string=Audit&amp;DYN_ARGS=TRUE&amp;VAR:ID1=641086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93__FDSAUDITLINK__" hidden="1">{"fdsup://IBCentral/FAT Viewer?action=UPDATE&amp;creator=factset&amp;DOC_NAME=fat:reuters_qtrly_source_window.fat&amp;display_string=Audit&amp;DYN_ARGS=TRUE&amp;VAR:ID1=641086&amp;VAR:RCODE=LMIN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94__FDSAUDITLINK__" localSheetId="0" hidden="1">{"fdsup://IBCentral/FAT Viewer?action=UPDATE&amp;creator=factset&amp;DOC_NAME=fat:reuters_annual_source_window.fat&amp;display_string=Audit&amp;DYN_ARGS=TRUE&amp;VAR:ID1=641086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94__FDSAUDITLINK__" hidden="1">{"fdsup://IBCentral/FAT Viewer?action=UPDATE&amp;creator=factset&amp;DOC_NAME=fat:reuters_annual_source_window.fat&amp;display_string=Audit&amp;DYN_ARGS=TRUE&amp;VAR:ID1=641086&amp;VAR:RCODE=STLD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95__FDSAUDITLINK__" localSheetId="0" hidden="1">{"fdsup://IBCentral/FAT Viewer?action=UPDATE&amp;creator=factset&amp;DOC_NAME=fat:reuters_annual_source_window.fat&amp;display_string=Audit&amp;DYN_ARGS=TRUE&amp;VAR:ID1=B08YDG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95__FDSAUDITLINK__" hidden="1">{"fdsup://IBCentral/FAT Viewer?action=UPDATE&amp;creator=factset&amp;DOC_NAME=fat:reuters_annual_source_window.fat&amp;display_string=Audit&amp;DYN_ARGS=TRUE&amp;VAR:ID1=B08YDG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96__FDSAUDITLINK__" localSheetId="0" hidden="1">{"fdsup://IBCentral/FAT Viewer?action=UPDATE&amp;creator=factset&amp;DOC_NAME=fat:reuters_annual_source_window.fat&amp;display_string=Audit&amp;DYN_ARGS=TRUE&amp;VAR:ID1=641086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96__FDSAUDITLINK__" hidden="1">{"fdsup://IBCentral/FAT Viewer?action=UPDATE&amp;creator=factset&amp;DOC_NAME=fat:reuters_annual_source_window.fat&amp;display_string=Audit&amp;DYN_ARGS=TRUE&amp;VAR:ID1=641086&amp;VAR:RCODE=SCSI&amp;VAR:SDATE=20091299&amp;VAR:FREQ=Y&amp;VAR:RELITEM=NOAUDIT&amp;VAR:CURRENCY=&amp;VAR:CURRSOURCE=EXSHAR","E&amp;VAR:NATFREQ=ANNUAL&amp;VAR:RFIELD=FINALIZED&amp;VAR:DB_TYPE=&amp;VAR:UNITS=M&amp;window=popup&amp;width=450&amp;height=300&amp;START_MAXIMIZED=FALSE"}</definedName>
    <definedName name="_1397__FDSAUDITLINK__" localSheetId="0" hidden="1">{"fdsup://IBCentral/FAT Viewer?action=UPDATE&amp;creator=factset&amp;DOC_NAME=fat:reuters_qtrly_source_window.fat&amp;display_string=Audit&amp;DYN_ARGS=TRUE&amp;VAR:ID1=B08YDG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97__FDSAUDITLINK__" hidden="1">{"fdsup://IBCentral/FAT Viewer?action=UPDATE&amp;creator=factset&amp;DOC_NAME=fat:reuters_qtrly_source_window.fat&amp;display_string=Audit&amp;DYN_ARGS=TRUE&amp;VAR:ID1=B08YDG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98__FDSAUDITLINK__" localSheetId="0" hidden="1">{"fdsup://IBCentral/FAT Viewer?action=UPDATE&amp;creator=factset&amp;DOC_NAME=fat:reuters_qtrly_source_window.fat&amp;display_string=Audit&amp;DYN_ARGS=TRUE&amp;VAR:ID1=641086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98__FDSAUDITLINK__" hidden="1">{"fdsup://IBCentral/FAT Viewer?action=UPDATE&amp;creator=factset&amp;DOC_NAME=fat:reuters_qtrly_source_window.fat&amp;display_string=Audit&amp;DYN_ARGS=TRUE&amp;VAR:ID1=641086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99__FDSAUDITLINK__" localSheetId="0" hidden="1">{"fdsup://IBCentral/FAT Viewer?action=UPDATE&amp;creator=factset&amp;DOC_NAME=fat:reuters_qtrly_source_window.fat&amp;display_string=Audit&amp;DYN_ARGS=TRUE&amp;VAR:ID1=B08YDG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99__FDSAUDITLINK__" hidden="1">{"fdsup://IBCentral/FAT Viewer?action=UPDATE&amp;creator=factset&amp;DOC_NAME=fat:reuters_qtrly_source_window.fat&amp;display_string=Audit&amp;DYN_ARGS=TRUE&amp;VAR:ID1=B08YDG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3w1_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_13w1_" hidden="1">{#N/A,#N/A,FALSE,"DIR-REP";#N/A,#N/A,FALSE,"AUD-REPORT";#N/A,#N/A,FALSE,"P7L&amp;BS";#N/A,#N/A,FALSE,"NOTES";#N/A,#N/A,FALSE,"FA";#N/A,#N/A,FALSE,"NOTES (2)";#N/A,#N/A,FALSE,"Schedule  IV";#N/A,#N/A,FALSE,"Schedule V"}</definedName>
    <definedName name="_13Y5_" localSheetId="0" hidden="1">{#N/A,#N/A,FALSE,"970301";#N/A,#N/A,FALSE,"970302";#N/A,#N/A,FALSE,"970303";#N/A,#N/A,FALSE,"970304";#N/A,#N/A,FALSE,"COM1";#N/A,#N/A,FALSE,"COM2"}</definedName>
    <definedName name="_13Y5_" hidden="1">{#N/A,#N/A,FALSE,"970301";#N/A,#N/A,FALSE,"970302";#N/A,#N/A,FALSE,"970303";#N/A,#N/A,FALSE,"970304";#N/A,#N/A,FALSE,"COM1";#N/A,#N/A,FALSE,"COM2"}</definedName>
    <definedName name="_14__123Graph_ACHART_1" hidden="1">#REF!</definedName>
    <definedName name="_14__123Graph_ACHART_7" hidden="1">#REF!</definedName>
    <definedName name="_14__123Graph_AGROWTH_9" hidden="1">#REF!</definedName>
    <definedName name="_14__123Graph_BCHART_1" hidden="1">#REF!</definedName>
    <definedName name="_14__123Graph_BCHART_2" hidden="1">#REF!</definedName>
    <definedName name="_14__123Graph_BCHART_3" hidden="1">#REF!</definedName>
    <definedName name="_14__123Graph_BGROWTH_9" hidden="1">#REF!</definedName>
    <definedName name="_14__123Graph_CCHART_12" hidden="1">#REF!</definedName>
    <definedName name="_14__123Graph_DCHART_1" hidden="1">#REF!</definedName>
    <definedName name="_14__123Graph_F_Chart_1A" hidden="1">#REF!</definedName>
    <definedName name="_14__123Graph_LBL_ACHART_2" hidden="1">#REF!</definedName>
    <definedName name="_14__123Graph_LBL_ACHART_3" hidden="1">#REF!</definedName>
    <definedName name="_14__FDSAUDITLINK__" localSheetId="0" hidden="1">{"fdsup://IBCentral/FAT Viewer?action=UPDATE&amp;creator=factset&amp;DOC_NAME=fat:reuters_qtrly_source_window.fat&amp;display_string=Audit&amp;DYN_ARGS=TRUE&amp;VAR:ID1=692737&amp;VAR:RCODE=SCSI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14__FDSAUDITLINK__" hidden="1">{"fdsup://directions/FAT Viewer?action=UPDATE&amp;creator=factset&amp;DYN_ARGS=TRUE&amp;DOC_NAME=FAT:FQL_AUDITING_CLIENT_TEMPLATE.FAT&amp;display_string=Audit&amp;VAR:KEY=ATMNYBULYZ&amp;VAR:QUERY=RkZfRUJJVERBX09QRVJfTUdOKEFOTiwyMDA5LCwsLFVTRCk=&amp;WINDOW=FIRST_POPUP&amp;HEIGHT=450&amp;WIDTH=","450&amp;START_MAXIMIZED=FALSE&amp;VAR:CALENDAR=FIVEDAY&amp;VAR:SYMBOL=B58MYJ&amp;VAR:INDEX=0"}</definedName>
    <definedName name="_14_0__123Graph_CCHAR" hidden="1">#REF!</definedName>
    <definedName name="_14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112"}</definedName>
    <definedName name="_140__FDSAUDITLINK__" hidden="1">{"fdsup://directions/FAT Viewer?action=UPDATE&amp;creator=factset&amp;DYN_ARGS=TRUE&amp;DOC_NAME=FAT:FQL_AUDITING_CLIENT_TEMPLATE.FAT&amp;display_string=Audit&amp;VAR:KEY=IZCJCBMVQH&amp;VAR:QUERY=RkZfUEUoQU5OLDIwMDksLCwsVVNEKQ==&amp;WINDOW=FIRST_POPUP&amp;HEIGHT=450&amp;WIDTH=450&amp;START_MAXIMI","ZED=FALSE&amp;VAR:CALENDAR=FIVEDAY&amp;VAR:SYMBOL=B5B8GW&amp;VAR:INDEX=0"}</definedName>
    <definedName name="_1400__FDSAUDITLINK__" localSheetId="0" hidden="1">{"fdsup://IBCentral/FAT Viewer?action=UPDATE&amp;creator=factset&amp;DOC_NAME=fat:reuters_qtrly_source_window.fat&amp;display_string=Audit&amp;DYN_ARGS=TRUE&amp;VAR:ID1=641086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0__FDSAUDITLINK__" hidden="1">{"fdsup://IBCentral/FAT Viewer?action=UPDATE&amp;creator=factset&amp;DOC_NAME=fat:reuters_qtrly_source_window.fat&amp;display_string=Audit&amp;DYN_ARGS=TRUE&amp;VAR:ID1=641086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1__FDSAUDITLINK__" localSheetId="0" hidden="1">{"fdsup://IBCentral/FAT Viewer?action=UPDATE&amp;creator=factset&amp;DOC_NAME=fat:reuters_qtrly_source_window.fat&amp;display_string=Audit&amp;DYN_ARGS=TRUE&amp;VAR:ID1=282388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1__FDSAUDITLINK__" hidden="1">{"fdsup://IBCentral/FAT Viewer?action=UPDATE&amp;creator=factset&amp;DOC_NAME=fat:reuters_qtrly_source_window.fat&amp;display_string=Audit&amp;DYN_ARGS=TRUE&amp;VAR:ID1=282388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2__FDSAUDITLINK__" localSheetId="0" hidden="1">{"fdsup://IBCentral/FAT Viewer?action=UPDATE&amp;creator=factset&amp;DOC_NAME=fat:reuters_qtrly_source_window.fat&amp;display_string=Audit&amp;DYN_ARGS=TRUE&amp;VAR:ID1=19122T10&amp;VAR:RCODE=STLD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402__FDSAUDITLINK__" hidden="1">{"fdsup://IBCentral/FAT Viewer?action=UPDATE&amp;creator=factset&amp;DOC_NAME=fat:reuters_qtrly_source_window.fat&amp;display_string=Audit&amp;DYN_ARGS=TRUE&amp;VAR:ID1=19122T10&amp;VAR:RCODE=STLD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403__FDSAUDITLINK__" localSheetId="0" hidden="1">{"fdsup://IBCentral/FAT Viewer?action=UPDATE&amp;creator=factset&amp;DOC_NAME=fat:reuters_qtrly_source_window.fat&amp;display_string=Audit&amp;DYN_ARGS=TRUE&amp;VAR:ID1=B058ZV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3__FDSAUDITLINK__" hidden="1">{"fdsup://IBCentral/FAT Viewer?action=UPDATE&amp;creator=factset&amp;DOC_NAME=fat:reuters_qtrly_source_window.fat&amp;display_string=Audit&amp;DYN_ARGS=TRUE&amp;VAR:ID1=B058ZV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4__FDSAUDITLINK__" localSheetId="0" hidden="1">{"fdsup://IBCentral/FAT Viewer?action=UPDATE&amp;creator=factset&amp;DOC_NAME=fat:reuters_qtrly_source_window.fat&amp;display_string=Audit&amp;DYN_ARGS=TRUE&amp;VAR:ID1=282388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4__FDSAUDITLINK__" hidden="1">{"fdsup://IBCentral/FAT Viewer?action=UPDATE&amp;creator=factset&amp;DOC_NAME=fat:reuters_qtrly_source_window.fat&amp;display_string=Audit&amp;DYN_ARGS=TRUE&amp;VAR:ID1=282388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5__FDSAUDITLINK__" localSheetId="0" hidden="1">{"fdsup://IBCentral/FAT Viewer?action=UPDATE&amp;creator=factset&amp;DOC_NAME=fat:reuters_qtrly_source_window.fat&amp;display_string=Audit&amp;DYN_ARGS=TRUE&amp;VAR:ID1=19122T10&amp;VAR:RCODE=SCSI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405__FDSAUDITLINK__" hidden="1">{"fdsup://IBCentral/FAT Viewer?action=UPDATE&amp;creator=factset&amp;DOC_NAME=fat:reuters_qtrly_source_window.fat&amp;display_string=Audit&amp;DYN_ARGS=TRUE&amp;VAR:ID1=19122T10&amp;VAR:RCODE=SCSI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406__FDSAUDITLINK__" localSheetId="0" hidden="1">{"fdsup://IBCentral/FAT Viewer?action=UPDATE&amp;creator=factset&amp;DOC_NAME=fat:reuters_qtrly_source_window.fat&amp;display_string=Audit&amp;DYN_ARGS=TRUE&amp;VAR:ID1=B058ZV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6__FDSAUDITLINK__" hidden="1">{"fdsup://IBCentral/FAT Viewer?action=UPDATE&amp;creator=factset&amp;DOC_NAME=fat:reuters_qtrly_source_window.fat&amp;display_string=Audit&amp;DYN_ARGS=TRUE&amp;VAR:ID1=B058ZV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7__FDSAUDITLINK__" localSheetId="0" hidden="1">{"fdsup://IBCentral/FAT Viewer?action=UPDATE&amp;creator=factset&amp;DOC_NAME=fat:reuters_qtrly_source_window.fat&amp;display_string=Audit&amp;DYN_ARGS=TRUE&amp;VAR:ID1=B08YDG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7__FDSAUDITLINK__" hidden="1">{"fdsup://IBCentral/FAT Viewer?action=UPDATE&amp;creator=factset&amp;DOC_NAME=fat:reuters_qtrly_source_window.fat&amp;display_string=Audit&amp;DYN_ARGS=TRUE&amp;VAR:ID1=B08YDG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8__FDSAUDITLINK__" localSheetId="0" hidden="1">{"fdsup://IBCentral/FAT Viewer?action=UPDATE&amp;creator=factset&amp;DOC_NAME=fat:reuters_qtrly_source_window.fat&amp;display_string=Audit&amp;DYN_ARGS=TRUE&amp;VAR:ID1=641086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8__FDSAUDITLINK__" hidden="1">{"fdsup://IBCentral/FAT Viewer?action=UPDATE&amp;creator=factset&amp;DOC_NAME=fat:reuters_qtrly_source_window.fat&amp;display_string=Audit&amp;DYN_ARGS=TRUE&amp;VAR:ID1=641086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9__FDSAUDITLINK__" localSheetId="0" hidden="1">{"fdsup://IBCentral/FAT Viewer?action=UPDATE&amp;creator=factset&amp;DOC_NAME=fat:reuters_qtrly_source_window.fat&amp;display_string=Audit&amp;DYN_ARGS=TRUE&amp;VAR:ID1=B08YDG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09__FDSAUDITLINK__" hidden="1">{"fdsup://IBCentral/FAT Viewer?action=UPDATE&amp;creator=factset&amp;DOC_NAME=fat:reuters_qtrly_source_window.fat&amp;display_string=Audit&amp;DYN_ARGS=TRUE&amp;VAR:ID1=B08YDG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111"}</definedName>
    <definedName name="_141__FDSAUDITLINK__" hidden="1">{"fdsup://directions/FAT Viewer?action=UPDATE&amp;creator=factset&amp;DYN_ARGS=TRUE&amp;DOC_NAME=FAT:FQL_AUDITING_CLIENT_TEMPLATE.FAT&amp;display_string=Audit&amp;VAR:KEY=SBONELIFWJ&amp;VAR:QUERY=RkZfUEUoQU5OLDIwMTAsLCwsVVNEKQ==&amp;WINDOW=FIRST_POPUP&amp;HEIGHT=450&amp;WIDTH=450&amp;START_MAXIMI","ZED=FALSE&amp;VAR:CALENDAR=FIVEDAY&amp;VAR:SYMBOL=B1H11J&amp;VAR:INDEX=0"}</definedName>
    <definedName name="_1410__FDSAUDITLINK__" localSheetId="0" hidden="1">{"fdsup://IBCentral/FAT Viewer?action=UPDATE&amp;creator=factset&amp;DOC_NAME=fat:reuters_qtrly_source_window.fat&amp;display_string=Audit&amp;DYN_ARGS=TRUE&amp;VAR:ID1=641086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0__FDSAUDITLINK__" hidden="1">{"fdsup://IBCentral/FAT Viewer?action=UPDATE&amp;creator=factset&amp;DOC_NAME=fat:reuters_qtrly_source_window.fat&amp;display_string=Audit&amp;DYN_ARGS=TRUE&amp;VAR:ID1=641086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1__FDSAUDITLINK__" localSheetId="0" hidden="1">{"fdsup://IBCentral/FAT Viewer?action=UPDATE&amp;creator=factset&amp;DOC_NAME=fat:reuters_qtrly_source_window.fat&amp;display_string=Audit&amp;DYN_ARGS=TRUE&amp;VAR:ID1=282388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1__FDSAUDITLINK__" hidden="1">{"fdsup://IBCentral/FAT Viewer?action=UPDATE&amp;creator=factset&amp;DOC_NAME=fat:reuters_qtrly_source_window.fat&amp;display_string=Audit&amp;DYN_ARGS=TRUE&amp;VAR:ID1=282388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2__FDSAUDITLINK__" localSheetId="0" hidden="1">{"fdsup://IBCentral/FAT Viewer?action=UPDATE&amp;creator=factset&amp;DOC_NAME=fat:reuters_qtrly_source_window.fat&amp;display_string=Audit&amp;DYN_ARGS=TRUE&amp;VAR:ID1=19122T10&amp;VAR:RCODE=STLD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412__FDSAUDITLINK__" hidden="1">{"fdsup://IBCentral/FAT Viewer?action=UPDATE&amp;creator=factset&amp;DOC_NAME=fat:reuters_qtrly_source_window.fat&amp;display_string=Audit&amp;DYN_ARGS=TRUE&amp;VAR:ID1=19122T10&amp;VAR:RCODE=STLD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413__FDSAUDITLINK__" localSheetId="0" hidden="1">{"fdsup://IBCentral/FAT Viewer?action=UPDATE&amp;creator=factset&amp;DOC_NAME=fat:reuters_qtrly_source_window.fat&amp;display_string=Audit&amp;DYN_ARGS=TRUE&amp;VAR:ID1=B058ZV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3__FDSAUDITLINK__" hidden="1">{"fdsup://IBCentral/FAT Viewer?action=UPDATE&amp;creator=factset&amp;DOC_NAME=fat:reuters_qtrly_source_window.fat&amp;display_string=Audit&amp;DYN_ARGS=TRUE&amp;VAR:ID1=B058ZV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4__FDSAUDITLINK__" localSheetId="0" hidden="1">{"fdsup://IBCentral/FAT Viewer?action=UPDATE&amp;creator=factset&amp;DOC_NAME=fat:reuters_qtrly_source_window.fat&amp;display_string=Audit&amp;DYN_ARGS=TRUE&amp;VAR:ID1=282388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4__FDSAUDITLINK__" hidden="1">{"fdsup://IBCentral/FAT Viewer?action=UPDATE&amp;creator=factset&amp;DOC_NAME=fat:reuters_qtrly_source_window.fat&amp;display_string=Audit&amp;DYN_ARGS=TRUE&amp;VAR:ID1=282388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5__FDSAUDITLINK__" localSheetId="0" hidden="1">{"fdsup://IBCentral/FAT Viewer?action=UPDATE&amp;creator=factset&amp;DOC_NAME=fat:reuters_qtrly_source_window.fat&amp;display_string=Audit&amp;DYN_ARGS=TRUE&amp;VAR:ID1=19122T10&amp;VAR:RCODE=SCSI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415__FDSAUDITLINK__" hidden="1">{"fdsup://IBCentral/FAT Viewer?action=UPDATE&amp;creator=factset&amp;DOC_NAME=fat:reuters_qtrly_source_window.fat&amp;display_string=Audit&amp;DYN_ARGS=TRUE&amp;VAR:ID1=19122T10&amp;VAR:RCODE=SCSI&amp;VAR:SDATE=20100999&amp;VAR:FREQ=Quarterly&amp;VAR:RELITEM=NOAUDIT&amp;VAR:CURRENCY=&amp;VAR:CURRSOUR","CE=EXSHARE&amp;VAR:NATFREQ=QUARTERLY&amp;VAR:RFIELD=FINALIZED&amp;VAR:DB_TYPE=&amp;VAR:UNITS=M&amp;window=popup&amp;width=450&amp;height=300&amp;START_MAXIMIZED=FALSE"}</definedName>
    <definedName name="_1416__FDSAUDITLINK__" localSheetId="0" hidden="1">{"fdsup://IBCentral/FAT Viewer?action=UPDATE&amp;creator=factset&amp;DOC_NAME=fat:reuters_qtrly_source_window.fat&amp;display_string=Audit&amp;DYN_ARGS=TRUE&amp;VAR:ID1=B058ZV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6__FDSAUDITLINK__" hidden="1">{"fdsup://IBCentral/FAT Viewer?action=UPDATE&amp;creator=factset&amp;DOC_NAME=fat:reuters_qtrly_source_window.fat&amp;display_string=Audit&amp;DYN_ARGS=TRUE&amp;VAR:ID1=B058ZV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7__FDSAUDITLINK__" localSheetId="0" hidden="1">{"fdsup://IBCentral/FAT Viewer?action=UPDATE&amp;creator=factset&amp;DOC_NAME=fat:reuters_qtrly_source_window.fat&amp;display_string=Audit&amp;DYN_ARGS=TRUE&amp;VAR:ID1=B08YDG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7__FDSAUDITLINK__" hidden="1">{"fdsup://IBCentral/FAT Viewer?action=UPDATE&amp;creator=factset&amp;DOC_NAME=fat:reuters_qtrly_source_window.fat&amp;display_string=Audit&amp;DYN_ARGS=TRUE&amp;VAR:ID1=B08YDG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8__FDSAUDITLINK__" localSheetId="0" hidden="1">{"fdsup://IBCentral/FAT Viewer?action=UPDATE&amp;creator=factset&amp;DOC_NAME=fat:reuters_qtrly_source_window.fat&amp;display_string=Audit&amp;DYN_ARGS=TRUE&amp;VAR:ID1=641086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8__FDSAUDITLINK__" hidden="1">{"fdsup://IBCentral/FAT Viewer?action=UPDATE&amp;creator=factset&amp;DOC_NAME=fat:reuters_qtrly_source_window.fat&amp;display_string=Audit&amp;DYN_ARGS=TRUE&amp;VAR:ID1=641086&amp;VAR:RCODE=STLD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9__FDSAUDITLINK__" localSheetId="0" hidden="1">{"fdsup://IBCentral/FAT Viewer?action=UPDATE&amp;creator=factset&amp;DOC_NAME=fat:reuters_qtrly_source_window.fat&amp;display_string=Audit&amp;DYN_ARGS=TRUE&amp;VAR:ID1=B08YDG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19__FDSAUDITLINK__" hidden="1">{"fdsup://IBCentral/FAT Viewer?action=UPDATE&amp;creator=factset&amp;DOC_NAME=fat:reuters_qtrly_source_window.fat&amp;display_string=Audit&amp;DYN_ARGS=TRUE&amp;VAR:ID1=B08YDG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110"}</definedName>
    <definedName name="_142__FDSAUDITLINK__" hidden="1">{"fdsup://directions/FAT Viewer?action=UPDATE&amp;creator=factset&amp;DYN_ARGS=TRUE&amp;DOC_NAME=FAT:FQL_AUDITING_CLIENT_TEMPLATE.FAT&amp;display_string=Audit&amp;VAR:KEY=UNWNAVKLCR&amp;VAR:QUERY=RkZfUEUoQU5OLDIwMDksLCwsVVNEKQ==&amp;WINDOW=FIRST_POPUP&amp;HEIGHT=450&amp;WIDTH=450&amp;START_MAXIMI","ZED=FALSE&amp;VAR:CALENDAR=FIVEDAY&amp;VAR:SYMBOL=B1H11J&amp;VAR:INDEX=0"}</definedName>
    <definedName name="_1420__FDSAUDITLINK__" localSheetId="0" hidden="1">{"fdsup://IBCentral/FAT Viewer?action=UPDATE&amp;creator=factset&amp;DOC_NAME=fat:reuters_qtrly_source_window.fat&amp;display_string=Audit&amp;DYN_ARGS=TRUE&amp;VAR:ID1=641086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20__FDSAUDITLINK__" hidden="1">{"fdsup://IBCentral/FAT Viewer?action=UPDATE&amp;creator=factset&amp;DOC_NAME=fat:reuters_qtrly_source_window.fat&amp;display_string=Audit&amp;DYN_ARGS=TRUE&amp;VAR:ID1=641086&amp;VAR:RCODE=SCSI&amp;VAR:SDATE=20100999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14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109"}</definedName>
    <definedName name="_143__FDSAUDITLINK__" hidden="1">{"fdsup://directions/FAT Viewer?action=UPDATE&amp;creator=factset&amp;DYN_ARGS=TRUE&amp;DOC_NAME=FAT:FQL_AUDITING_CLIENT_TEMPLATE.FAT&amp;display_string=Audit&amp;VAR:KEY=ANYBQXQJUN&amp;VAR:QUERY=RkZfUEUoQU5OLDIwMTAsLCwsVVNEKQ==&amp;WINDOW=FIRST_POPUP&amp;HEIGHT=450&amp;WIDTH=450&amp;START_MAXIMI","ZED=FALSE&amp;VAR:CALENDAR=FIVEDAY&amp;VAR:SYMBOL=B599D1&amp;VAR:INDEX=0"}</definedName>
    <definedName name="_14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108"}</definedName>
    <definedName name="_144__FDSAUDITLINK__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108"}</definedName>
    <definedName name="_14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107"}</definedName>
    <definedName name="_145__FDSAUDITLINK__" hidden="1">{"fdsup://directions/FAT Viewer?action=UPDATE&amp;creator=factset&amp;DYN_ARGS=TRUE&amp;DOC_NAME=FAT:FQL_AUDITING_CLIENT_TEMPLATE.FAT&amp;display_string=Audit&amp;VAR:KEY=WTSDAHOPMB&amp;VAR:QUERY=RkZfUEUoQU5OLDIwMTAsLCwsVVNEKQ==&amp;WINDOW=FIRST_POPUP&amp;HEIGHT=450&amp;WIDTH=450&amp;START_MAXIMI","ZED=FALSE&amp;VAR:CALENDAR=FIVEDAY&amp;VAR:SYMBOL=B58MYJ&amp;VAR:INDEX=0"}</definedName>
    <definedName name="_14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106"}</definedName>
    <definedName name="_146__FDSAUDITLINK__" hidden="1">{"fdsup://directions/FAT Viewer?action=UPDATE&amp;creator=factset&amp;DYN_ARGS=TRUE&amp;DOC_NAME=FAT:FQL_AUDITING_CLIENT_TEMPLATE.FAT&amp;display_string=Audit&amp;VAR:KEY=ENAXGDYPIZ&amp;VAR:QUERY=RkZfUEUoQU5OLDIwMDksLCwsVVNEKQ==&amp;WINDOW=FIRST_POPUP&amp;HEIGHT=450&amp;WIDTH=450&amp;START_MAXIMI","ZED=FALSE&amp;VAR:CALENDAR=FIVEDAY&amp;VAR:SYMBOL=B58MYJ&amp;VAR:INDEX=0"}</definedName>
    <definedName name="_14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105"}</definedName>
    <definedName name="_147__FDSAUDITLINK__" hidden="1">{"fdsup://directions/FAT Viewer?action=UPDATE&amp;creator=factset&amp;DYN_ARGS=TRUE&amp;DOC_NAME=FAT:FQL_AUDITING_CLIENT_TEMPLATE.FAT&amp;display_string=Audit&amp;VAR:KEY=EHEBENYLCZ&amp;VAR:QUERY=RkZfUEUoQU5OLDIwMTAsLCwsVVNEKQ==&amp;WINDOW=FIRST_POPUP&amp;HEIGHT=450&amp;WIDTH=450&amp;START_MAXIMI","ZED=FALSE&amp;VAR:CALENDAR=FIVEDAY&amp;VAR:SYMBOL=B1VZKH&amp;VAR:INDEX=0"}</definedName>
    <definedName name="_14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104"}</definedName>
    <definedName name="_148__FDSAUDITLINK__" hidden="1">{"fdsup://directions/FAT Viewer?action=UPDATE&amp;creator=factset&amp;DYN_ARGS=TRUE&amp;DOC_NAME=FAT:FQL_AUDITING_CLIENT_TEMPLATE.FAT&amp;display_string=Audit&amp;VAR:KEY=CNOXCPQJWR&amp;VAR:QUERY=RkZfUEUoQU5OLDIwMDksLCwsVVNEKQ==&amp;WINDOW=FIRST_POPUP&amp;HEIGHT=450&amp;WIDTH=450&amp;START_MAXIMI","ZED=FALSE&amp;VAR:CALENDAR=FIVEDAY&amp;VAR:SYMBOL=B1VZKH&amp;VAR:INDEX=0"}</definedName>
    <definedName name="_14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103"}</definedName>
    <definedName name="_149__FDSAUDITLINK__" hidden="1">{"fdsup://directions/FAT Viewer?action=UPDATE&amp;creator=factset&amp;DYN_ARGS=TRUE&amp;DOC_NAME=FAT:FQL_AUDITING_CLIENT_TEMPLATE.FAT&amp;display_string=Audit&amp;VAR:KEY=MVYFENOREN&amp;VAR:QUERY=RkZfUEUoQU5OLDIwMTAsLCwsVVNEKQ==&amp;WINDOW=FIRST_POPUP&amp;HEIGHT=450&amp;WIDTH=450&amp;START_MAXIMI","ZED=FALSE&amp;VAR:CALENDAR=FIVEDAY&amp;VAR:SYMBOL=B0D5V5&amp;VAR:INDEX=0"}</definedName>
    <definedName name="_14A2_" hidden="1">#REF!</definedName>
    <definedName name="_14w45_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14w45_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15__123Graph_BCHART_5" hidden="1">#REF!</definedName>
    <definedName name="_15__123Graph_BGROWTH_9" hidden="1">#REF!</definedName>
    <definedName name="_15__123Graph_CCHART_1" hidden="1">#REF!</definedName>
    <definedName name="_15__123Graph_CCHART_13" hidden="1">#REF!</definedName>
    <definedName name="_15__123Graph_DCHART_8" hidden="1">#REF!</definedName>
    <definedName name="_15__123Graph_LBL_ACHART_3" hidden="1">#REF!</definedName>
    <definedName name="_15__123Graph_LBL_ACHART_4" hidden="1">#REF!</definedName>
    <definedName name="_15__123Graph_X_Chart_1A" hidden="1">#REF!</definedName>
    <definedName name="_15__123Graph_XGROWTH_9" hidden="1">#REF!</definedName>
    <definedName name="_15__FDSAUDITLINK__" localSheetId="0" hidden="1">{"fdsup://IBCentral/FAT Viewer?action=UPDATE&amp;creator=factset&amp;DOC_NAME=fat:reuters_qtrly_source_window.fat&amp;display_string=Audit&amp;DYN_ARGS=TRUE&amp;VAR:ID1=692737&amp;VAR:RCODE=STLD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15__FDSAUDITLINK__" hidden="1">{"fdsup://directions/FAT Viewer?action=UPDATE&amp;creator=factset&amp;DYN_ARGS=TRUE&amp;DOC_NAME=FAT:FQL_AUDITING_CLIENT_TEMPLATE.FAT&amp;display_string=Audit&amp;VAR:KEY=EZCFIDWXSV&amp;VAR:QUERY=RkZfRUJJVERBX09QRVJfTUdOKEFOTiwyMDEwKQ==&amp;WINDOW=FIRST_POPUP&amp;HEIGHT=450&amp;WIDTH=450&amp;STAR","T_MAXIMIZED=FALSE&amp;VAR:CALENDAR=FIVEDAY&amp;VAR:SYMBOL=B1VZKH&amp;VAR:INDEX=0"}</definedName>
    <definedName name="_15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102"}</definedName>
    <definedName name="_150__FDSAUDITLINK__" hidden="1">{"fdsup://directions/FAT Viewer?action=UPDATE&amp;creator=factset&amp;DYN_ARGS=TRUE&amp;DOC_NAME=FAT:FQL_AUDITING_CLIENT_TEMPLATE.FAT&amp;display_string=Audit&amp;VAR:KEY=IJSFMJEJKZ&amp;VAR:QUERY=RkZfUEUoQU5OLDIwMDksLCwsVVNEKQ==&amp;WINDOW=FIRST_POPUP&amp;HEIGHT=450&amp;WIDTH=450&amp;START_MAXIMI","ZED=FALSE&amp;VAR:CALENDAR=FIVEDAY&amp;VAR:SYMBOL=B0D5V5&amp;VAR:INDEX=0"}</definedName>
    <definedName name="_15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101"}</definedName>
    <definedName name="_151__FDSAUDITLINK__" hidden="1">{"fdsup://directions/FAT Viewer?action=UPDATE&amp;creator=factset&amp;DYN_ARGS=TRUE&amp;DOC_NAME=FAT:FQL_AUDITING_CLIENT_TEMPLATE.FAT&amp;display_string=Audit&amp;VAR:KEY=IREHMPCDGT&amp;VAR:QUERY=RkZfUEUoQU5OLDIwMTAsLCwsVVNEKQ==&amp;WINDOW=FIRST_POPUP&amp;HEIGHT=450&amp;WIDTH=450&amp;START_MAXIMI","ZED=FALSE&amp;VAR:CALENDAR=FIVEDAY&amp;VAR:SYMBOL=B1J1MT&amp;VAR:INDEX=0"}</definedName>
    <definedName name="_15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100"}</definedName>
    <definedName name="_152__FDSAUDITLINK__" hidden="1">{"fdsup://directions/FAT Viewer?action=UPDATE&amp;creator=factset&amp;DYN_ARGS=TRUE&amp;DOC_NAME=FAT:FQL_AUDITING_CLIENT_TEMPLATE.FAT&amp;display_string=Audit&amp;VAR:KEY=IFMLGZOZWF&amp;VAR:QUERY=RkZfUEUoQU5OLDIwMDksLCwsVVNEKQ==&amp;WINDOW=FIRST_POPUP&amp;HEIGHT=450&amp;WIDTH=450&amp;START_MAXIMI","ZED=FALSE&amp;VAR:CALENDAR=FIVEDAY&amp;VAR:SYMBOL=B1J1MT&amp;VAR:INDEX=0"}</definedName>
    <definedName name="_15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99"}</definedName>
    <definedName name="_153__FDSAUDITLINK__" hidden="1">{"fdsup://directions/FAT Viewer?action=UPDATE&amp;creator=factset&amp;DYN_ARGS=TRUE&amp;DOC_NAME=FAT:FQL_AUDITING_CLIENT_TEMPLATE.FAT&amp;display_string=Audit&amp;VAR:KEY=MZGJSFYJYX&amp;VAR:QUERY=RkZfUEUoQU5OLDIwMTAsLCwsVVNEKQ==&amp;WINDOW=FIRST_POPUP&amp;HEIGHT=450&amp;WIDTH=450&amp;START_MAXIMI","ZED=FALSE&amp;VAR:CALENDAR=FIVEDAY&amp;VAR:SYMBOL=769426&amp;VAR:INDEX=0"}</definedName>
    <definedName name="_15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98"}</definedName>
    <definedName name="_154__FDSAUDITLINK__" hidden="1">{"fdsup://directions/FAT Viewer?action=UPDATE&amp;creator=factset&amp;DYN_ARGS=TRUE&amp;DOC_NAME=FAT:FQL_AUDITING_CLIENT_TEMPLATE.FAT&amp;display_string=Audit&amp;VAR:KEY=ETWXIFIRKL&amp;VAR:QUERY=RkZfUEUoQU5OLDIwMDksLCwsVVNEKQ==&amp;WINDOW=FIRST_POPUP&amp;HEIGHT=450&amp;WIDTH=450&amp;START_MAXIMI","ZED=FALSE&amp;VAR:CALENDAR=FIVEDAY&amp;VAR:SYMBOL=769426&amp;VAR:INDEX=0"}</definedName>
    <definedName name="_15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97"}</definedName>
    <definedName name="_155__FDSAUDITLINK__" hidden="1">{"fdsup://directions/FAT Viewer?action=UPDATE&amp;creator=factset&amp;DYN_ARGS=TRUE&amp;DOC_NAME=FAT:FQL_AUDITING_CLIENT_TEMPLATE.FAT&amp;display_string=Audit&amp;VAR:KEY=CVQZCJEZGR&amp;VAR:QUERY=RkZfTkVUX0lOQyhBTk4sMjAxMCwsLCxVU0Qp&amp;WINDOW=FIRST_POPUP&amp;HEIGHT=450&amp;WIDTH=450&amp;START_MA","XIMIZED=FALSE&amp;VAR:CALENDAR=FIVEDAY&amp;VAR:SYMBOL=B5TWX8&amp;VAR:INDEX=0"}</definedName>
    <definedName name="_15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96"}</definedName>
    <definedName name="_156__FDSAUDITLINK__" hidden="1">{"fdsup://directions/FAT Viewer?action=UPDATE&amp;creator=factset&amp;DYN_ARGS=TRUE&amp;DOC_NAME=FAT:FQL_AUDITING_CLIENT_TEMPLATE.FAT&amp;display_string=Audit&amp;VAR:KEY=ABQHKXKTMX&amp;VAR:QUERY=RkZfTkVUX0lOQyhBTk4sMjAwOSwsLCxVU0Qp&amp;WINDOW=FIRST_POPUP&amp;HEIGHT=450&amp;WIDTH=450&amp;START_MA","XIMIZED=FALSE&amp;VAR:CALENDAR=FIVEDAY&amp;VAR:SYMBOL=B5TWX8&amp;VAR:INDEX=0"}</definedName>
    <definedName name="_15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95"}</definedName>
    <definedName name="_157__FDSAUDITLINK__" hidden="1">{"fdsup://directions/FAT Viewer?action=UPDATE&amp;creator=factset&amp;DYN_ARGS=TRUE&amp;DOC_NAME=FAT:FQL_AUDITING_CLIENT_TEMPLATE.FAT&amp;display_string=Audit&amp;VAR:KEY=MZWJYHIJYF&amp;VAR:QUERY=RkZfTkVUX0lOQyhBTk4sMjAxMCwsLCxVU0Qp&amp;WINDOW=FIRST_POPUP&amp;HEIGHT=450&amp;WIDTH=450&amp;START_MA","XIMIZED=FALSE&amp;VAR:CALENDAR=FIVEDAY&amp;VAR:SYMBOL=B59Q6G&amp;VAR:INDEX=0"}</definedName>
    <definedName name="_15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94"}</definedName>
    <definedName name="_158__FDSAUDITLINK__" hidden="1">{"fdsup://directions/FAT Viewer?action=UPDATE&amp;creator=factset&amp;DYN_ARGS=TRUE&amp;DOC_NAME=FAT:FQL_AUDITING_CLIENT_TEMPLATE.FAT&amp;display_string=Audit&amp;VAR:KEY=GFGPGPWJWN&amp;VAR:QUERY=RkZfTkVUX0lOQyhBTk4sMjAwOSwsLCxVU0Qp&amp;WINDOW=FIRST_POPUP&amp;HEIGHT=450&amp;WIDTH=450&amp;START_MA","XIMIZED=FALSE&amp;VAR:CALENDAR=FIVEDAY&amp;VAR:SYMBOL=B59Q6G&amp;VAR:INDEX=0"}</definedName>
    <definedName name="_15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93"}</definedName>
    <definedName name="_159__FDSAUDITLINK__" hidden="1">{"fdsup://directions/FAT Viewer?action=UPDATE&amp;creator=factset&amp;DYN_ARGS=TRUE&amp;DOC_NAME=FAT:FQL_AUDITING_CLIENT_TEMPLATE.FAT&amp;display_string=Audit&amp;VAR:KEY=ULQVMJGZCV&amp;VAR:QUERY=RkZfTkVUX0lOQyhBTk4sMjAxMCwsLCxVU0Qp&amp;WINDOW=FIRST_POPUP&amp;HEIGHT=450&amp;WIDTH=450&amp;START_MA","XIMIZED=FALSE&amp;VAR:CALENDAR=FIVEDAY&amp;VAR:SYMBOL=B59F84&amp;VAR:INDEX=0"}</definedName>
    <definedName name="_15F208_" localSheetId="0" hidden="1">{"toptrial",#N/A,TRUE,"toptrial";"adjustment",#N/A,TRUE,"toptrial";"voucher",#N/A,TRUE,"toptrial"}</definedName>
    <definedName name="_15F208_" hidden="1">{"toptrial",#N/A,TRUE,"toptrial";"adjustment",#N/A,TRUE,"toptrial";"voucher",#N/A,TRUE,"toptrial"}</definedName>
    <definedName name="_16__123Graph_ACHART_9" hidden="1">#REF!</definedName>
    <definedName name="_16__123Graph_BCHART_1" hidden="1">#REF!</definedName>
    <definedName name="_16__123Graph_CCHART_14" hidden="1">#REF!</definedName>
    <definedName name="_16__123Graph_CCHART_19" hidden="1">#REF!</definedName>
    <definedName name="_16__123Graph_LBL_ACHART_1" hidden="1">#REF!</definedName>
    <definedName name="_16__123Graph_LBL_ACHART_4" hidden="1">#REF!</definedName>
    <definedName name="_16__123Graph_LBL_BCHART_3" hidden="1">#REF!</definedName>
    <definedName name="_16__123Graph_XChart_1" hidden="1">#REF!</definedName>
    <definedName name="_16__123Graph_XGROWTH_9" hidden="1">#REF!</definedName>
    <definedName name="_16__FDSAUDITLINK__" localSheetId="0" hidden="1">{"fdsup://IBCentral/FAT Viewer?action=UPDATE&amp;creator=factset&amp;DOC_NAME=fat:reuters_qtrly_source_window.fat&amp;display_string=Audit&amp;DYN_ARGS=TRUE&amp;VAR:ID1=692737&amp;VAR:RCODE=STLD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16__FDSAUDITLINK__" hidden="1">{"fdsup://directions/FAT Viewer?action=UPDATE&amp;creator=factset&amp;DYN_ARGS=TRUE&amp;DOC_NAME=FAT:FQL_AUDITING_CLIENT_TEMPLATE.FAT&amp;display_string=Audit&amp;VAR:KEY=GLSFKNYNMB&amp;VAR:QUERY=RkZfRUJJVERBX09QRVJfTUdOKEFOTiwyMDA5LCwsLFVTRCk=&amp;WINDOW=FIRST_POPUP&amp;HEIGHT=450&amp;WIDTH=","450&amp;START_MAXIMIZED=FALSE&amp;VAR:CALENDAR=FIVEDAY&amp;VAR:SYMBOL=B1VZKH&amp;VAR:INDEX=0"}</definedName>
    <definedName name="_16_0__123Graph_LBL_ACHAR" hidden="1">#REF!</definedName>
    <definedName name="_16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92"}</definedName>
    <definedName name="_160__FDSAUDITLINK__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92"}</definedName>
    <definedName name="_16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91"}</definedName>
    <definedName name="_161__FDSAUDITLINK__" hidden="1">{"fdsup://directions/FAT Viewer?action=UPDATE&amp;creator=factset&amp;DYN_ARGS=TRUE&amp;DOC_NAME=FAT:FQL_AUDITING_CLIENT_TEMPLATE.FAT&amp;display_string=Audit&amp;VAR:KEY=ERIZQZWNIN&amp;VAR:QUERY=RkZfTkVUX0lOQyhBTk4sMjAxMCwsLCxVU0Qp&amp;WINDOW=FIRST_POPUP&amp;HEIGHT=450&amp;WIDTH=450&amp;START_MA","XIMIZED=FALSE&amp;VAR:CALENDAR=FIVEDAY&amp;VAR:SYMBOL=B5B8GW&amp;VAR:INDEX=0"}</definedName>
    <definedName name="_16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90"}</definedName>
    <definedName name="_162__FDSAUDITLINK__" hidden="1">{"fdsup://directions/FAT Viewer?action=UPDATE&amp;creator=factset&amp;DYN_ARGS=TRUE&amp;DOC_NAME=FAT:FQL_AUDITING_CLIENT_TEMPLATE.FAT&amp;display_string=Audit&amp;VAR:KEY=ANOLOTUFWB&amp;VAR:QUERY=RkZfTkVUX0lOQyhBTk4sMjAwOSwsLCxVU0Qp&amp;WINDOW=FIRST_POPUP&amp;HEIGHT=450&amp;WIDTH=450&amp;START_MA","XIMIZED=FALSE&amp;VAR:CALENDAR=FIVEDAY&amp;VAR:SYMBOL=B5B8GW&amp;VAR:INDEX=0"}</definedName>
    <definedName name="_16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89"}</definedName>
    <definedName name="_163__FDSAUDITLINK__" hidden="1">{"fdsup://directions/FAT Viewer?action=UPDATE&amp;creator=factset&amp;DYN_ARGS=TRUE&amp;DOC_NAME=FAT:FQL_AUDITING_CLIENT_TEMPLATE.FAT&amp;display_string=Audit&amp;VAR:KEY=UPAHKJGHAF&amp;VAR:QUERY=RkZfTkVUX0lOQyhBTk4sMjAxMCwsLCxVU0Qp&amp;WINDOW=FIRST_POPUP&amp;HEIGHT=450&amp;WIDTH=450&amp;START_MA","XIMIZED=FALSE&amp;VAR:CALENDAR=FIVEDAY&amp;VAR:SYMBOL=B1H11J&amp;VAR:INDEX=0"}</definedName>
    <definedName name="_16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88"}</definedName>
    <definedName name="_164__FDSAUDITLINK__" hidden="1">{"fdsup://directions/FAT Viewer?action=UPDATE&amp;creator=factset&amp;DYN_ARGS=TRUE&amp;DOC_NAME=FAT:FQL_AUDITING_CLIENT_TEMPLATE.FAT&amp;display_string=Audit&amp;VAR:KEY=YPUXWXUHSX&amp;VAR:QUERY=RkZfTkVUX0lOQyhBTk4sMjAwOSwsLCxVU0Qp&amp;WINDOW=FIRST_POPUP&amp;HEIGHT=450&amp;WIDTH=450&amp;START_MA","XIMIZED=FALSE&amp;VAR:CALENDAR=FIVEDAY&amp;VAR:SYMBOL=B1H11J&amp;VAR:INDEX=0"}</definedName>
    <definedName name="_16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87"}</definedName>
    <definedName name="_165__FDSAUDITLINK__" hidden="1">{"fdsup://directions/FAT Viewer?action=UPDATE&amp;creator=factset&amp;DYN_ARGS=TRUE&amp;DOC_NAME=FAT:FQL_AUDITING_CLIENT_TEMPLATE.FAT&amp;display_string=Audit&amp;VAR:KEY=MJKLKBCLWV&amp;VAR:QUERY=RkZfTkVUX0lOQyhBTk4sMjAxMCwsLCxVU0Qp&amp;WINDOW=FIRST_POPUP&amp;HEIGHT=450&amp;WIDTH=450&amp;START_MA","XIMIZED=FALSE&amp;VAR:CALENDAR=FIVEDAY&amp;VAR:SYMBOL=B599D1&amp;VAR:INDEX=0"}</definedName>
    <definedName name="_16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86"}</definedName>
    <definedName name="_166__FDSAUDITLINK__" hidden="1">{"fdsup://directions/FAT Viewer?action=UPDATE&amp;creator=factset&amp;DYN_ARGS=TRUE&amp;DOC_NAME=FAT:FQL_AUDITING_CLIENT_TEMPLATE.FAT&amp;display_string=Audit&amp;VAR:KEY=EDWJGFMRQV&amp;VAR:QUERY=RkZfTkVUX0lOQyhBTk4sMjAwOSwsLCxVU0Qp&amp;WINDOW=FIRST_POPUP&amp;HEIGHT=450&amp;WIDTH=450&amp;START_MA","XIMIZED=FALSE&amp;VAR:CALENDAR=FIVEDAY&amp;VAR:SYMBOL=B599D1&amp;VAR:INDEX=0"}</definedName>
    <definedName name="_16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85"}</definedName>
    <definedName name="_167__FDSAUDITLINK__" hidden="1">{"fdsup://directions/FAT Viewer?action=UPDATE&amp;creator=factset&amp;DYN_ARGS=TRUE&amp;DOC_NAME=FAT:FQL_AUDITING_CLIENT_TEMPLATE.FAT&amp;display_string=Audit&amp;VAR:KEY=UPOHATOPIL&amp;VAR:QUERY=RkZfTkVUX0lOQyhBTk4sMjAxMCwsLCxVU0Qp&amp;WINDOW=FIRST_POPUP&amp;HEIGHT=450&amp;WIDTH=450&amp;START_MA","XIMIZED=FALSE&amp;VAR:CALENDAR=FIVEDAY&amp;VAR:SYMBOL=B58MYJ&amp;VAR:INDEX=0"}</definedName>
    <definedName name="_16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84"}</definedName>
    <definedName name="_168__FDSAUDITLINK__" hidden="1">{"fdsup://directions/FAT Viewer?action=UPDATE&amp;creator=factset&amp;DYN_ARGS=TRUE&amp;DOC_NAME=FAT:FQL_AUDITING_CLIENT_TEMPLATE.FAT&amp;display_string=Audit&amp;VAR:KEY=UTYTOHOJWZ&amp;VAR:QUERY=RkZfTkVUX0lOQyhBTk4sMjAwOSwsLCxVU0Qp&amp;WINDOW=FIRST_POPUP&amp;HEIGHT=450&amp;WIDTH=450&amp;START_MA","XIMIZED=FALSE&amp;VAR:CALENDAR=FIVEDAY&amp;VAR:SYMBOL=B58MYJ&amp;VAR:INDEX=0"}</definedName>
    <definedName name="_16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83"}</definedName>
    <definedName name="_169__FDSAUDITLINK__" hidden="1">{"fdsup://directions/FAT Viewer?action=UPDATE&amp;creator=factset&amp;DYN_ARGS=TRUE&amp;DOC_NAME=FAT:FQL_AUDITING_CLIENT_TEMPLATE.FAT&amp;display_string=Audit&amp;VAR:KEY=WNMPOBAVKT&amp;VAR:QUERY=RkZfTkVUX0lOQyhBTk4sMjAxMCwsLCxVU0Qp&amp;WINDOW=FIRST_POPUP&amp;HEIGHT=450&amp;WIDTH=450&amp;START_MA","XIMIZED=FALSE&amp;VAR:CALENDAR=FIVEDAY&amp;VAR:SYMBOL=B1VZKH&amp;VAR:INDEX=0"}</definedName>
    <definedName name="_17__123Graph_CCHART_15" hidden="1">#REF!</definedName>
    <definedName name="_17__123Graph_CCHART_2" hidden="1">#REF!</definedName>
    <definedName name="_17__123Graph_LBL_ACHART_3" hidden="1">#REF!</definedName>
    <definedName name="_17__123Graph_LBL_BCHART_2" hidden="1">#REF!</definedName>
    <definedName name="_17__123Graph_LBL_BCHART_4" hidden="1">#REF!</definedName>
    <definedName name="_17__123Graph_XChart_2" hidden="1">#REF!</definedName>
    <definedName name="_17__FDSAUDITLINK__" localSheetId="0" hidden="1">{"fdsup://Directions/FactSet Auditing Viewer?action=AUDIT_VALUE&amp;DB=129&amp;ID1=692737&amp;VALUEID=04601&amp;SDATE=2009&amp;PERIODTYPE=ANN_STD&amp;window=popup_no_bar&amp;width=385&amp;height=120&amp;START_MAXIMIZED=FALSE&amp;creator=factset&amp;display_string=Audit"}</definedName>
    <definedName name="_17__FDSAUDITLINK__" hidden="1">{"fdsup://directions/FAT Viewer?action=UPDATE&amp;creator=factset&amp;DYN_ARGS=TRUE&amp;DOC_NAME=FAT:FQL_AUDITING_CLIENT_TEMPLATE.FAT&amp;display_string=Audit&amp;VAR:KEY=KPIJSZUTED&amp;VAR:QUERY=RkZfRUJJVERBX09QRVJfTUdOKEFOTiwyMDEwKQ==&amp;WINDOW=FIRST_POPUP&amp;HEIGHT=450&amp;WIDTH=450&amp;STAR","T_MAXIMIZED=FALSE&amp;VAR:CALENDAR=FIVEDAY&amp;VAR:SYMBOL=B0D5V5&amp;VAR:INDEX=0"}</definedName>
    <definedName name="_17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82"}</definedName>
    <definedName name="_170__FDSAUDITLINK__" hidden="1">{"fdsup://directions/FAT Viewer?action=UPDATE&amp;creator=factset&amp;DYN_ARGS=TRUE&amp;DOC_NAME=FAT:FQL_AUDITING_CLIENT_TEMPLATE.FAT&amp;display_string=Audit&amp;VAR:KEY=YXIFOTEHGR&amp;VAR:QUERY=RkZfTkVUX0lOQyhBTk4sMjAwOSwsLCxVU0Qp&amp;WINDOW=FIRST_POPUP&amp;HEIGHT=450&amp;WIDTH=450&amp;START_MA","XIMIZED=FALSE&amp;VAR:CALENDAR=FIVEDAY&amp;VAR:SYMBOL=B1VZKH&amp;VAR:INDEX=0"}</definedName>
    <definedName name="_17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81"}</definedName>
    <definedName name="_171__FDSAUDITLINK__" hidden="1">{"fdsup://directions/FAT Viewer?action=UPDATE&amp;creator=factset&amp;DYN_ARGS=TRUE&amp;DOC_NAME=FAT:FQL_AUDITING_CLIENT_TEMPLATE.FAT&amp;display_string=Audit&amp;VAR:KEY=STENUTYXSX&amp;VAR:QUERY=RkZfTkVUX0lOQyhBTk4sMjAxMCwsLCxVU0Qp&amp;WINDOW=FIRST_POPUP&amp;HEIGHT=450&amp;WIDTH=450&amp;START_MA","XIMIZED=FALSE&amp;VAR:CALENDAR=FIVEDAY&amp;VAR:SYMBOL=B0D5V5&amp;VAR:INDEX=0"}</definedName>
    <definedName name="_17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80"}</definedName>
    <definedName name="_172__FDSAUDITLINK__" hidden="1">{"fdsup://directions/FAT Viewer?action=UPDATE&amp;creator=factset&amp;DYN_ARGS=TRUE&amp;DOC_NAME=FAT:FQL_AUDITING_CLIENT_TEMPLATE.FAT&amp;display_string=Audit&amp;VAR:KEY=EXUFGBUZAH&amp;VAR:QUERY=RkZfTkVUX0lOQyhBTk4sMjAwOSwsLCxVU0Qp&amp;WINDOW=FIRST_POPUP&amp;HEIGHT=450&amp;WIDTH=450&amp;START_MA","XIMIZED=FALSE&amp;VAR:CALENDAR=FIVEDAY&amp;VAR:SYMBOL=B0D5V5&amp;VAR:INDEX=0"}</definedName>
    <definedName name="_17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79"}</definedName>
    <definedName name="_173__FDSAUDITLINK__" hidden="1">{"fdsup://directions/FAT Viewer?action=UPDATE&amp;creator=factset&amp;DYN_ARGS=TRUE&amp;DOC_NAME=FAT:FQL_AUDITING_CLIENT_TEMPLATE.FAT&amp;display_string=Audit&amp;VAR:KEY=CTOFABUPIP&amp;VAR:QUERY=RkZfTkVUX0lOQyhBTk4sMjAxMCwsLCxVU0Qp&amp;WINDOW=FIRST_POPUP&amp;HEIGHT=450&amp;WIDTH=450&amp;START_MA","XIMIZED=FALSE&amp;VAR:CALENDAR=FIVEDAY&amp;VAR:SYMBOL=B1J1MT&amp;VAR:INDEX=0"}</definedName>
    <definedName name="_17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78"}</definedName>
    <definedName name="_174__FDSAUDITLINK__" hidden="1">{"fdsup://directions/FAT Viewer?action=UPDATE&amp;creator=factset&amp;DYN_ARGS=TRUE&amp;DOC_NAME=FAT:FQL_AUDITING_CLIENT_TEMPLATE.FAT&amp;display_string=Audit&amp;VAR:KEY=YXOPIVMPWB&amp;VAR:QUERY=RkZfTkVUX0lOQyhBTk4sMjAwOSwsLCxVU0Qp&amp;WINDOW=FIRST_POPUP&amp;HEIGHT=450&amp;WIDTH=450&amp;START_MA","XIMIZED=FALSE&amp;VAR:CALENDAR=FIVEDAY&amp;VAR:SYMBOL=B1J1MT&amp;VAR:INDEX=0"}</definedName>
    <definedName name="_17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77"}</definedName>
    <definedName name="_175__FDSAUDITLINK__" hidden="1">{"fdsup://directions/FAT Viewer?action=UPDATE&amp;creator=factset&amp;DYN_ARGS=TRUE&amp;DOC_NAME=FAT:FQL_AUDITING_CLIENT_TEMPLATE.FAT&amp;display_string=Audit&amp;VAR:KEY=SLARKRQBSV&amp;VAR:QUERY=RkZfTkVUX0lOQyhBTk4sMjAxMCwsLCxVU0Qp&amp;WINDOW=FIRST_POPUP&amp;HEIGHT=450&amp;WIDTH=450&amp;START_MA","XIMIZED=FALSE&amp;VAR:CALENDAR=FIVEDAY&amp;VAR:SYMBOL=769426&amp;VAR:INDEX=0"}</definedName>
    <definedName name="_17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76"}</definedName>
    <definedName name="_176__FDSAUDITLINK__" hidden="1">{"fdsup://directions/FAT Viewer?action=UPDATE&amp;creator=factset&amp;DYN_ARGS=TRUE&amp;DOC_NAME=FAT:FQL_AUDITING_CLIENT_TEMPLATE.FAT&amp;display_string=Audit&amp;VAR:KEY=SVEJUXETUH&amp;VAR:QUERY=RkZfTkVUX0lOQyhBTk4sMjAwOSwsLCxVU0Qp&amp;WINDOW=FIRST_POPUP&amp;HEIGHT=450&amp;WIDTH=450&amp;START_MA","XIMIZED=FALSE&amp;VAR:CALENDAR=FIVEDAY&amp;VAR:SYMBOL=769426&amp;VAR:INDEX=0"}</definedName>
    <definedName name="_17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75"}</definedName>
    <definedName name="_177__FDSAUDITLINK__" hidden="1">{"fdsup://directions/FAT Viewer?action=UPDATE&amp;creator=factset&amp;DYN_ARGS=TRUE&amp;DOC_NAME=FAT:FQL_AUDITING_CLIENT_TEMPLATE.FAT&amp;display_string=Audit&amp;VAR:KEY=CFMHIZEJQJ&amp;VAR:QUERY=RkZfRUJJVERBX09QRVIoQU5OLDIwMTAsLCwsVVNEKQ==&amp;WINDOW=FIRST_POPUP&amp;HEIGHT=450&amp;WIDTH=450&amp;","START_MAXIMIZED=FALSE&amp;VAR:CALENDAR=FIVEDAY&amp;VAR:SYMBOL=B5TWX8&amp;VAR:INDEX=0"}</definedName>
    <definedName name="_17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74"}</definedName>
    <definedName name="_178__FDSAUDITLINK__" hidden="1">{"fdsup://directions/FAT Viewer?action=UPDATE&amp;creator=factset&amp;DYN_ARGS=TRUE&amp;DOC_NAME=FAT:FQL_AUDITING_CLIENT_TEMPLATE.FAT&amp;display_string=Audit&amp;VAR:KEY=SLABYTILML&amp;VAR:QUERY=RkZfRUJJVERBX09QRVIoQU5OLDIwMDksLCwsVVNEKQ==&amp;WINDOW=FIRST_POPUP&amp;HEIGHT=450&amp;WIDTH=450&amp;","START_MAXIMIZED=FALSE&amp;VAR:CALENDAR=FIVEDAY&amp;VAR:SYMBOL=B5TWX8&amp;VAR:INDEX=0"}</definedName>
    <definedName name="_17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73"}</definedName>
    <definedName name="_179__FDSAUDITLINK__" hidden="1">{"fdsup://directions/FAT Viewer?action=UPDATE&amp;creator=factset&amp;DYN_ARGS=TRUE&amp;DOC_NAME=FAT:FQL_AUDITING_CLIENT_TEMPLATE.FAT&amp;display_string=Audit&amp;VAR:KEY=YDIHUDUROT&amp;VAR:QUERY=RkZfRUJJVERBX09QRVIoQU5OLDIwMTAsLCwsVVNEKQ==&amp;WINDOW=FIRST_POPUP&amp;HEIGHT=450&amp;WIDTH=450&amp;","START_MAXIMIZED=FALSE&amp;VAR:CALENDAR=FIVEDAY&amp;VAR:SYMBOL=B59Q6G&amp;VAR:INDEX=0"}</definedName>
    <definedName name="_18__123Graph_BCHART_12" hidden="1">#REF!</definedName>
    <definedName name="_18__123Graph_CCHART_1" hidden="1">#REF!</definedName>
    <definedName name="_18__123Graph_CCHART_18" hidden="1">#REF!</definedName>
    <definedName name="_18__123Graph_CCHART_5" hidden="1">#REF!</definedName>
    <definedName name="_18__123Graph_LBL_ACHART_4" hidden="1">#REF!</definedName>
    <definedName name="_18__123Graph_LBL_BCHART_3" hidden="1">#REF!</definedName>
    <definedName name="_18__123Graph_LBL_CCHART_3" hidden="1">#REF!</definedName>
    <definedName name="_18__123Graph_XChart_3" hidden="1">#REF!</definedName>
    <definedName name="_18__FDSAUDITLINK__" localSheetId="0" hidden="1">{"fdsup://Directions/FactSet Auditing Viewer?action=AUDIT_VALUE&amp;DB=129&amp;ID1=692737&amp;VALUEID=04601&amp;SDATE=2008&amp;PERIODTYPE=ANN_STD&amp;window=popup_no_bar&amp;width=385&amp;height=120&amp;START_MAXIMIZED=FALSE&amp;creator=factset&amp;display_string=Audit"}</definedName>
    <definedName name="_18__FDSAUDITLINK__" hidden="1">{"fdsup://directions/FAT Viewer?action=UPDATE&amp;creator=factset&amp;DYN_ARGS=TRUE&amp;DOC_NAME=FAT:FQL_AUDITING_CLIENT_TEMPLATE.FAT&amp;display_string=Audit&amp;VAR:KEY=GREHSPEJSR&amp;VAR:QUERY=RkZfRUJJVERBX09QRVJfTUdOKEFOTiwyMDA5LCwsLFVTRCk=&amp;WINDOW=FIRST_POPUP&amp;HEIGHT=450&amp;WIDTH=","450&amp;START_MAXIMIZED=FALSE&amp;VAR:CALENDAR=FIVEDAY&amp;VAR:SYMBOL=B0D5V5&amp;VAR:INDEX=0"}</definedName>
    <definedName name="_18_0__123Graph_ACHAR" hidden="1">#REF!</definedName>
    <definedName name="_18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72"}</definedName>
    <definedName name="_180__FDSAUDITLINK__" hidden="1">{"fdsup://directions/FAT Viewer?action=UPDATE&amp;creator=factset&amp;DYN_ARGS=TRUE&amp;DOC_NAME=FAT:FQL_AUDITING_CLIENT_TEMPLATE.FAT&amp;display_string=Audit&amp;VAR:KEY=CBSTANQVEF&amp;VAR:QUERY=RkZfRUJJVERBX09QRVIoQU5OLDIwMDksLCwsVVNEKQ==&amp;WINDOW=FIRST_POPUP&amp;HEIGHT=450&amp;WIDTH=450&amp;","START_MAXIMIZED=FALSE&amp;VAR:CALENDAR=FIVEDAY&amp;VAR:SYMBOL=B59Q6G&amp;VAR:INDEX=0"}</definedName>
    <definedName name="_18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71"}</definedName>
    <definedName name="_181__FDSAUDITLINK__" hidden="1">{"fdsup://directions/FAT Viewer?action=UPDATE&amp;creator=factset&amp;DYN_ARGS=TRUE&amp;DOC_NAME=FAT:FQL_AUDITING_CLIENT_TEMPLATE.FAT&amp;display_string=Audit&amp;VAR:KEY=ERINEVSVEX&amp;VAR:QUERY=RkZfRUJJVERBX09QRVIoQU5OLDIwMTAsLCwsVVNEKQ==&amp;WINDOW=FIRST_POPUP&amp;HEIGHT=450&amp;WIDTH=450&amp;","START_MAXIMIZED=FALSE&amp;VAR:CALENDAR=FIVEDAY&amp;VAR:SYMBOL=B59F84&amp;VAR:INDEX=0"}</definedName>
    <definedName name="_18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70"}</definedName>
    <definedName name="_182__FDSAUDITLINK__" hidden="1">{"fdsup://directions/FAT Viewer?action=UPDATE&amp;creator=factset&amp;DYN_ARGS=TRUE&amp;DOC_NAME=FAT:FQL_AUDITING_CLIENT_TEMPLATE.FAT&amp;display_string=Audit&amp;VAR:KEY=STYTYJIXKH&amp;VAR:QUERY=RkZfRUJJVERBX09QRVIoQU5OLDIwMDksLCwsVVNEKQ==&amp;WINDOW=FIRST_POPUP&amp;HEIGHT=450&amp;WIDTH=450&amp;","START_MAXIMIZED=FALSE&amp;VAR:CALENDAR=FIVEDAY&amp;VAR:SYMBOL=B59F84&amp;VAR:INDEX=0"}</definedName>
    <definedName name="_18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69"}</definedName>
    <definedName name="_183__FDSAUDITLINK__" hidden="1">{"fdsup://directions/FAT Viewer?action=UPDATE&amp;creator=factset&amp;DYN_ARGS=TRUE&amp;DOC_NAME=FAT:FQL_AUDITING_CLIENT_TEMPLATE.FAT&amp;display_string=Audit&amp;VAR:KEY=KBEHERUTSJ&amp;VAR:QUERY=RkZfRUJJVERBX09QRVIoQU5OLDIwMTAsLCwsVVNEKQ==&amp;WINDOW=FIRST_POPUP&amp;HEIGHT=450&amp;WIDTH=450&amp;","START_MAXIMIZED=FALSE&amp;VAR:CALENDAR=FIVEDAY&amp;VAR:SYMBOL=B5B8GW&amp;VAR:INDEX=0"}</definedName>
    <definedName name="_18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68"}</definedName>
    <definedName name="_184__FDSAUDITLINK__" hidden="1">{"fdsup://directions/FAT Viewer?action=UPDATE&amp;creator=factset&amp;DYN_ARGS=TRUE&amp;DOC_NAME=FAT:FQL_AUDITING_CLIENT_TEMPLATE.FAT&amp;display_string=Audit&amp;VAR:KEY=IDKTUZOPER&amp;VAR:QUERY=RkZfRUJJVERBX09QRVIoQU5OLDIwMDksLCwsVVNEKQ==&amp;WINDOW=FIRST_POPUP&amp;HEIGHT=450&amp;WIDTH=450&amp;","START_MAXIMIZED=FALSE&amp;VAR:CALENDAR=FIVEDAY&amp;VAR:SYMBOL=B5B8GW&amp;VAR:INDEX=0"}</definedName>
    <definedName name="_18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67"}</definedName>
    <definedName name="_185__FDSAUDITLINK__" hidden="1">{"fdsup://directions/FAT Viewer?action=UPDATE&amp;creator=factset&amp;DYN_ARGS=TRUE&amp;DOC_NAME=FAT:FQL_AUDITING_CLIENT_TEMPLATE.FAT&amp;display_string=Audit&amp;VAR:KEY=WLSPAVYDSN&amp;VAR:QUERY=RkZfRUJJVERBX09QRVIoQU5OLDIwMTAsLCwsVVNEKQ==&amp;WINDOW=FIRST_POPUP&amp;HEIGHT=450&amp;WIDTH=450&amp;","START_MAXIMIZED=FALSE&amp;VAR:CALENDAR=FIVEDAY&amp;VAR:SYMBOL=B1H11J&amp;VAR:INDEX=0"}</definedName>
    <definedName name="_18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66"}</definedName>
    <definedName name="_186__FDSAUDITLINK__" hidden="1">{"fdsup://directions/FAT Viewer?action=UPDATE&amp;creator=factset&amp;DYN_ARGS=TRUE&amp;DOC_NAME=FAT:FQL_AUDITING_CLIENT_TEMPLATE.FAT&amp;display_string=Audit&amp;VAR:KEY=UTSVQHSXGD&amp;VAR:QUERY=RkZfRUJJVERBX09QRVIoQU5OLDIwMDksLCwsVVNEKQ==&amp;WINDOW=FIRST_POPUP&amp;HEIGHT=450&amp;WIDTH=450&amp;","START_MAXIMIZED=FALSE&amp;VAR:CALENDAR=FIVEDAY&amp;VAR:SYMBOL=B1H11J&amp;VAR:INDEX=0"}</definedName>
    <definedName name="_18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65"}</definedName>
    <definedName name="_187__FDSAUDITLINK__" hidden="1">{"fdsup://directions/FAT Viewer?action=UPDATE&amp;creator=factset&amp;DYN_ARGS=TRUE&amp;DOC_NAME=FAT:FQL_AUDITING_CLIENT_TEMPLATE.FAT&amp;display_string=Audit&amp;VAR:KEY=GTCHCBIJEX&amp;VAR:QUERY=RkZfRUJJVERBX09QRVIoQU5OLDIwMTAsLCwsVVNEKQ==&amp;WINDOW=FIRST_POPUP&amp;HEIGHT=450&amp;WIDTH=450&amp;","START_MAXIMIZED=FALSE&amp;VAR:CALENDAR=FIVEDAY&amp;VAR:SYMBOL=B599D1&amp;VAR:INDEX=0"}</definedName>
    <definedName name="_18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64"}</definedName>
    <definedName name="_188__FDSAUDITLINK__" hidden="1">{"fdsup://directions/FAT Viewer?action=UPDATE&amp;creator=factset&amp;DYN_ARGS=TRUE&amp;DOC_NAME=FAT:FQL_AUDITING_CLIENT_TEMPLATE.FAT&amp;display_string=Audit&amp;VAR:KEY=QJWZEPAJSJ&amp;VAR:QUERY=RkZfRUJJVERBX09QRVIoQU5OLDIwMDksLCwsVVNEKQ==&amp;WINDOW=FIRST_POPUP&amp;HEIGHT=450&amp;WIDTH=450&amp;","START_MAXIMIZED=FALSE&amp;VAR:CALENDAR=FIVEDAY&amp;VAR:SYMBOL=B599D1&amp;VAR:INDEX=0"}</definedName>
    <definedName name="_18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63"}</definedName>
    <definedName name="_189__FDSAUDITLINK__" hidden="1">{"fdsup://directions/FAT Viewer?action=UPDATE&amp;creator=factset&amp;DYN_ARGS=TRUE&amp;DOC_NAME=FAT:FQL_AUDITING_CLIENT_TEMPLATE.FAT&amp;display_string=Audit&amp;VAR:KEY=EDQTOPKHOT&amp;VAR:QUERY=RkZfRUJJVERBX09QRVIoQU5OLDIwMTAsLCwsVVNEKQ==&amp;WINDOW=FIRST_POPUP&amp;HEIGHT=450&amp;WIDTH=450&amp;","START_MAXIMIZED=FALSE&amp;VAR:CALENDAR=FIVEDAY&amp;VAR:SYMBOL=B58MYJ&amp;VAR:INDEX=0"}</definedName>
    <definedName name="_19__123Graph_A_Chart_1A" hidden="1">#REF!</definedName>
    <definedName name="_19__123Graph_CCHART_31" hidden="1">#REF!</definedName>
    <definedName name="_19__123Graph_ECHART_2" hidden="1">#REF!</definedName>
    <definedName name="_19__123Graph_LBL_ACHART_3" hidden="1">#REF!</definedName>
    <definedName name="_19__123Graph_LBL_BCHART_3" hidden="1">#REF!</definedName>
    <definedName name="_19__123Graph_LBL_CCHART_2" hidden="1">#REF!</definedName>
    <definedName name="_19__123Graph_XCHART_1" hidden="1">#REF!</definedName>
    <definedName name="_19__123Graph_XChart_4" hidden="1">#REF!</definedName>
    <definedName name="_19__FDSAUDITLINK__" localSheetId="0" hidden="1">{"fdsup://Directions/FactSet Auditing Viewer?action=AUDIT_VALUE&amp;DB=129&amp;ID1=692737&amp;VALUEID=04601&amp;SDATE=2007&amp;PERIODTYPE=ANN_STD&amp;window=popup_no_bar&amp;width=385&amp;height=120&amp;START_MAXIMIZED=FALSE&amp;creator=factset&amp;display_string=Audit"}</definedName>
    <definedName name="_19__FDSAUDITLINK__" hidden="1">{"fdsup://directions/FAT Viewer?action=UPDATE&amp;creator=factset&amp;DYN_ARGS=TRUE&amp;DOC_NAME=FAT:FQL_AUDITING_CLIENT_TEMPLATE.FAT&amp;display_string=Audit&amp;VAR:KEY=CZGLKDUJQH&amp;VAR:QUERY=RkZfRUJJVERBX09QRVJfTUdOKEFOTiwyMDEwKQ==&amp;WINDOW=FIRST_POPUP&amp;HEIGHT=450&amp;WIDTH=450&amp;STAR","T_MAXIMIZED=FALSE&amp;VAR:CALENDAR=FIVEDAY&amp;VAR:SYMBOL=B1J1MT&amp;VAR:INDEX=0"}</definedName>
    <definedName name="_19_0__123Graph_ACHAR" hidden="1">#REF!</definedName>
    <definedName name="_19_0__123Graph_BCHAR" hidden="1">#REF!</definedName>
    <definedName name="_19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62"}</definedName>
    <definedName name="_190__FDSAUDITLINK__" hidden="1">{"fdsup://directions/FAT Viewer?action=UPDATE&amp;creator=factset&amp;DYN_ARGS=TRUE&amp;DOC_NAME=FAT:FQL_AUDITING_CLIENT_TEMPLATE.FAT&amp;display_string=Audit&amp;VAR:KEY=MJSLYJADIT&amp;VAR:QUERY=RkZfRUJJVERBX09QRVIoQU5OLDIwMDksLCwsVVNEKQ==&amp;WINDOW=FIRST_POPUP&amp;HEIGHT=450&amp;WIDTH=450&amp;","START_MAXIMIZED=FALSE&amp;VAR:CALENDAR=FIVEDAY&amp;VAR:SYMBOL=B58MYJ&amp;VAR:INDEX=0"}</definedName>
    <definedName name="_19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61"}</definedName>
    <definedName name="_191__FDSAUDITLINK__" hidden="1">{"fdsup://directions/FAT Viewer?action=UPDATE&amp;creator=factset&amp;DYN_ARGS=TRUE&amp;DOC_NAME=FAT:FQL_AUDITING_CLIENT_TEMPLATE.FAT&amp;display_string=Audit&amp;VAR:KEY=OTURMNGTCR&amp;VAR:QUERY=RkZfRUJJVERBX09QRVIoQU5OLDIwMTAsLCwsVVNEKQ==&amp;WINDOW=FIRST_POPUP&amp;HEIGHT=450&amp;WIDTH=450&amp;","START_MAXIMIZED=FALSE&amp;VAR:CALENDAR=FIVEDAY&amp;VAR:SYMBOL=B1VZKH&amp;VAR:INDEX=0"}</definedName>
    <definedName name="_19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60"}</definedName>
    <definedName name="_192__FDSAUDITLINK__" hidden="1">{"fdsup://directions/FAT Viewer?action=UPDATE&amp;creator=factset&amp;DYN_ARGS=TRUE&amp;DOC_NAME=FAT:FQL_AUDITING_CLIENT_TEMPLATE.FAT&amp;display_string=Audit&amp;VAR:KEY=ULMFERCLKR&amp;VAR:QUERY=RkZfRUJJVERBX09QRVIoQU5OLDIwMDksLCwsVVNEKQ==&amp;WINDOW=FIRST_POPUP&amp;HEIGHT=450&amp;WIDTH=450&amp;","START_MAXIMIZED=FALSE&amp;VAR:CALENDAR=FIVEDAY&amp;VAR:SYMBOL=B1VZKH&amp;VAR:INDEX=0"}</definedName>
    <definedName name="_19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59"}</definedName>
    <definedName name="_193__FDSAUDITLINK__" hidden="1">{"fdsup://directions/FAT Viewer?action=UPDATE&amp;creator=factset&amp;DYN_ARGS=TRUE&amp;DOC_NAME=FAT:FQL_AUDITING_CLIENT_TEMPLATE.FAT&amp;display_string=Audit&amp;VAR:KEY=MLQFWTODQZ&amp;VAR:QUERY=RkZfRUJJVERBX09QRVIoQU5OLDIwMTAsLCwsVVNEKQ==&amp;WINDOW=FIRST_POPUP&amp;HEIGHT=450&amp;WIDTH=450&amp;","START_MAXIMIZED=FALSE&amp;VAR:CALENDAR=FIVEDAY&amp;VAR:SYMBOL=B0D5V5&amp;VAR:INDEX=0"}</definedName>
    <definedName name="_19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58"}</definedName>
    <definedName name="_194__FDSAUDITLINK__" hidden="1">{"fdsup://directions/FAT Viewer?action=UPDATE&amp;creator=factset&amp;DYN_ARGS=TRUE&amp;DOC_NAME=FAT:FQL_AUDITING_CLIENT_TEMPLATE.FAT&amp;display_string=Audit&amp;VAR:KEY=GLALKLCNON&amp;VAR:QUERY=RkZfRUJJVERBX09QRVIoQU5OLDIwMDksLCwsVVNEKQ==&amp;WINDOW=FIRST_POPUP&amp;HEIGHT=450&amp;WIDTH=450&amp;","START_MAXIMIZED=FALSE&amp;VAR:CALENDAR=FIVEDAY&amp;VAR:SYMBOL=B0D5V5&amp;VAR:INDEX=0"}</definedName>
    <definedName name="_19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57"}</definedName>
    <definedName name="_195__FDSAUDITLINK__" hidden="1">{"fdsup://directions/FAT Viewer?action=UPDATE&amp;creator=factset&amp;DYN_ARGS=TRUE&amp;DOC_NAME=FAT:FQL_AUDITING_CLIENT_TEMPLATE.FAT&amp;display_string=Audit&amp;VAR:KEY=CVGZALMZSD&amp;VAR:QUERY=RkZfRUJJVERBX09QRVIoQU5OLDIwMTAsLCwsVVNEKQ==&amp;WINDOW=FIRST_POPUP&amp;HEIGHT=450&amp;WIDTH=450&amp;","START_MAXIMIZED=FALSE&amp;VAR:CALENDAR=FIVEDAY&amp;VAR:SYMBOL=B1J1MT&amp;VAR:INDEX=0"}</definedName>
    <definedName name="_19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56"}</definedName>
    <definedName name="_196__FDSAUDITLINK__" hidden="1">{"fdsup://directions/FAT Viewer?action=UPDATE&amp;creator=factset&amp;DYN_ARGS=TRUE&amp;DOC_NAME=FAT:FQL_AUDITING_CLIENT_TEMPLATE.FAT&amp;display_string=Audit&amp;VAR:KEY=WDOVCXWTKP&amp;VAR:QUERY=RkZfRUJJVERBX09QRVIoQU5OLDIwMDksLCwsVVNEKQ==&amp;WINDOW=FIRST_POPUP&amp;HEIGHT=450&amp;WIDTH=450&amp;","START_MAXIMIZED=FALSE&amp;VAR:CALENDAR=FIVEDAY&amp;VAR:SYMBOL=B1J1MT&amp;VAR:INDEX=0"}</definedName>
    <definedName name="_19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55"}</definedName>
    <definedName name="_197__FDSAUDITLINK__" hidden="1">{"fdsup://directions/FAT Viewer?action=UPDATE&amp;creator=factset&amp;DYN_ARGS=TRUE&amp;DOC_NAME=FAT:FQL_AUDITING_CLIENT_TEMPLATE.FAT&amp;display_string=Audit&amp;VAR:KEY=UTUTUVQFUZ&amp;VAR:QUERY=RkZfRUJJVERBX09QRVIoQU5OLDIwMTAsLCwsVVNEKQ==&amp;WINDOW=FIRST_POPUP&amp;HEIGHT=450&amp;WIDTH=450&amp;","START_MAXIMIZED=FALSE&amp;VAR:CALENDAR=FIVEDAY&amp;VAR:SYMBOL=769426&amp;VAR:INDEX=0"}</definedName>
    <definedName name="_19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54"}</definedName>
    <definedName name="_198__FDSAUDITLINK__" hidden="1">{"fdsup://directions/FAT Viewer?action=UPDATE&amp;creator=factset&amp;DYN_ARGS=TRUE&amp;DOC_NAME=FAT:FQL_AUDITING_CLIENT_TEMPLATE.FAT&amp;display_string=Audit&amp;VAR:KEY=ILENSPUXGN&amp;VAR:QUERY=RkZfRUJJVERBX09QRVIoQU5OLDIwMDksLCwsVVNEKQ==&amp;WINDOW=FIRST_POPUP&amp;HEIGHT=450&amp;WIDTH=450&amp;","START_MAXIMIZED=FALSE&amp;VAR:CALENDAR=FIVEDAY&amp;VAR:SYMBOL=769426&amp;VAR:INDEX=0"}</definedName>
    <definedName name="_19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53"}</definedName>
    <definedName name="_199__FDSAUDITLINK__" hidden="1">{"fdsup://directions/FAT Viewer?action=UPDATE&amp;creator=factset&amp;DYN_ARGS=TRUE&amp;DOC_NAME=FAT:FQL_AUDITING_CLIENT_TEMPLATE.FAT&amp;display_string=Audit&amp;VAR:KEY=ELINGBUVMJ&amp;VAR:QUERY=RkZfRUJJVF9PUEVSKEFOTiwyMDEwLCwsLFVTRCk=&amp;WINDOW=FIRST_POPUP&amp;HEIGHT=450&amp;WIDTH=450&amp;STAR","T_MAXIMIZED=FALSE&amp;VAR:CALENDAR=FIVEDAY&amp;VAR:SYMBOL=B59Q6G&amp;VAR:INDEX=0"}</definedName>
    <definedName name="_1A100_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_1A100_" hidden="1">{#N/A,#N/A,FALSE,"DIR-REP";#N/A,#N/A,FALSE,"AUD-REPORT";#N/A,#N/A,FALSE,"P7L&amp;BS";#N/A,#N/A,FALSE,"NOTES";#N/A,#N/A,FALSE,"FA";#N/A,#N/A,FALSE,"NOTES (2)";#N/A,#N/A,FALSE,"Schedule  IV";#N/A,#N/A,FALSE,"Schedule V"}</definedName>
    <definedName name="_2__123Graph_AChart_1" hidden="1">#REF!</definedName>
    <definedName name="_2__123Graph_ACHART_12" hidden="1">#REF!</definedName>
    <definedName name="_2__123Graph_ACHART_13" hidden="1">#REF!</definedName>
    <definedName name="_2__123Graph_ACHART_18" hidden="1">#REF!</definedName>
    <definedName name="_2__123Graph_ACHART_2" hidden="1">#REF!</definedName>
    <definedName name="_2__123Graph_ACHART_3" hidden="1">#REF!</definedName>
    <definedName name="_2__123Graph_AR_M_MARG" hidden="1">#REF!</definedName>
    <definedName name="_2__123Graph_ATEILM_RKTE" hidden="1">#REF!</definedName>
    <definedName name="_2__123Graph_ATEILM_RKTE2" hidden="1">#REF!</definedName>
    <definedName name="_2__FDSAUDITLINK__" localSheetId="0" hidden="1">{"fdsup://Directions/FactSet Auditing Viewer?action=AUDIT_VALUE&amp;DB=129&amp;ID1=692737&amp;VALUEID=04601&amp;SDATE=2008&amp;PERIODTYPE=ANN_STD&amp;window=popup_no_bar&amp;width=385&amp;height=120&amp;START_MAXIMIZED=FALSE&amp;creator=factset&amp;display_string=Audit"}</definedName>
    <definedName name="_2__FDSAUDITLINK__" hidden="1">{"fdsup://IBCentral/FAT Viewer?action=UPDATE&amp;creator=factset&amp;DOC_NAME=fat:reuters_annual_source_window.fat&amp;display_string=Audit&amp;DYN_ARGS=TRUE&amp;VAR:ID1=B450Z4&amp;VAR:RCODE=NIBX&amp;VAR:SDATE=0&amp;VAR:FREQ=Y&amp;VAR:RELITEM=RP&amp;VAR:CURRENCY=&amp;VAR:CURRSOURCE=EXSHARE&amp;VAR:NATFRE","Q=ANNUAL&amp;VAR:RFIELD=FINALIZED&amp;VAR:DB_TYPE=&amp;VAR:UNITS=M&amp;window=popup&amp;width=450&amp;height=300&amp;START_MAXIMIZED=FALSE"}</definedName>
    <definedName name="_20__123Graph_A_Chart_1A" hidden="1">#REF!</definedName>
    <definedName name="_20__123Graph_AChart_1" hidden="1">#REF!</definedName>
    <definedName name="_20__123Graph_BCHART_13" hidden="1">#REF!</definedName>
    <definedName name="_20__123Graph_CCHART_4" hidden="1">#REF!</definedName>
    <definedName name="_20__123Graph_ECHART_5" hidden="1">#REF!</definedName>
    <definedName name="_20__123Graph_LBL_ACHART_1" hidden="1">#REF!</definedName>
    <definedName name="_20__123Graph_LBL_BCHART_4" hidden="1">#REF!</definedName>
    <definedName name="_20__123Graph_LBL_CCHART_3" hidden="1">#REF!</definedName>
    <definedName name="_20__123Graph_XCHART_3" hidden="1">#REF!</definedName>
    <definedName name="_20__123Graph_XChart_5" hidden="1">#REF!</definedName>
    <definedName name="_20__FDSAUDITLINK__" localSheetId="0" hidden="1">{"fdsup://Directions/FactSet Auditing Viewer?action=AUDIT_VALUE&amp;DB=129&amp;ID1=692737&amp;VALUEID=01551&amp;SDATE=2009&amp;PERIODTYPE=ANN_STD&amp;window=popup_no_bar&amp;width=385&amp;height=120&amp;START_MAXIMIZED=FALSE&amp;creator=factset&amp;display_string=Audit"}</definedName>
    <definedName name="_20__FDSAUDITLINK__" hidden="1">{"fdsup://directions/FAT Viewer?action=UPDATE&amp;creator=factset&amp;DYN_ARGS=TRUE&amp;DOC_NAME=FAT:FQL_AUDITING_CLIENT_TEMPLATE.FAT&amp;display_string=Audit&amp;VAR:KEY=UDYDUTYFKL&amp;VAR:QUERY=RkZfRUJJVERBX09QRVJfTUdOKEFOTiwyMDA5LCwsLFVTRCk=&amp;WINDOW=FIRST_POPUP&amp;HEIGHT=450&amp;WIDTH=","450&amp;START_MAXIMIZED=FALSE&amp;VAR:CALENDAR=FIVEDAY&amp;VAR:SYMBOL=B1J1MT&amp;VAR:INDEX=0"}</definedName>
    <definedName name="_20_0__123Graph_BCHAR" hidden="1">#REF!</definedName>
    <definedName name="_20_0__123Graph_CCHAR" hidden="1">#REF!</definedName>
    <definedName name="_20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52"}</definedName>
    <definedName name="_200__FDSAUDITLINK__" hidden="1">{"fdsup://directions/FAT Viewer?action=UPDATE&amp;creator=factset&amp;DYN_ARGS=TRUE&amp;DOC_NAME=FAT:FQL_AUDITING_CLIENT_TEMPLATE.FAT&amp;display_string=Audit&amp;VAR:KEY=EXKPMFSVCJ&amp;VAR:QUERY=RkZfRUJJVF9PUEVSKEFOTiwyMDA5LCwsLFVTRCk=&amp;WINDOW=FIRST_POPUP&amp;HEIGHT=450&amp;WIDTH=450&amp;STAR","T_MAXIMIZED=FALSE&amp;VAR:CALENDAR=FIVEDAY&amp;VAR:SYMBOL=B59Q6G&amp;VAR:INDEX=0"}</definedName>
    <definedName name="_20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51"}</definedName>
    <definedName name="_201__FDSAUDITLINK__" hidden="1">{"fdsup://directions/FAT Viewer?action=UPDATE&amp;creator=factset&amp;DYN_ARGS=TRUE&amp;DOC_NAME=FAT:FQL_AUDITING_CLIENT_TEMPLATE.FAT&amp;display_string=Audit&amp;VAR:KEY=ILAHYXYXOX&amp;VAR:QUERY=RkZfRUJJVF9PUEVSKEFOTiwyMDEwLCwsLFVTRCk=&amp;WINDOW=FIRST_POPUP&amp;HEIGHT=450&amp;WIDTH=450&amp;STAR","T_MAXIMIZED=FALSE&amp;VAR:CALENDAR=FIVEDAY&amp;VAR:SYMBOL=B59F84&amp;VAR:INDEX=0"}</definedName>
    <definedName name="_20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50"}</definedName>
    <definedName name="_202__FDSAUDITLINK__" hidden="1">{"fdsup://directions/FAT Viewer?action=UPDATE&amp;creator=factset&amp;DYN_ARGS=TRUE&amp;DOC_NAME=FAT:FQL_AUDITING_CLIENT_TEMPLATE.FAT&amp;display_string=Audit&amp;VAR:KEY=KBQHWVYZUR&amp;VAR:QUERY=RkZfRUJJVF9PUEVSKEFOTiwyMDA5LCwsLFVTRCk=&amp;WINDOW=FIRST_POPUP&amp;HEIGHT=450&amp;WIDTH=450&amp;STAR","T_MAXIMIZED=FALSE&amp;VAR:CALENDAR=FIVEDAY&amp;VAR:SYMBOL=B59F84&amp;VAR:INDEX=0"}</definedName>
    <definedName name="_20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49"}</definedName>
    <definedName name="_203__FDSAUDITLINK__" hidden="1">{"fdsup://directions/FAT Viewer?action=UPDATE&amp;creator=factset&amp;DYN_ARGS=TRUE&amp;DOC_NAME=FAT:FQL_AUDITING_CLIENT_TEMPLATE.FAT&amp;display_string=Audit&amp;VAR:KEY=CLQROPEBUJ&amp;VAR:QUERY=RkZfRUJJVF9PUEVSKEFOTiwyMDEwLCwsLFVTRCk=&amp;WINDOW=FIRST_POPUP&amp;HEIGHT=450&amp;WIDTH=450&amp;STAR","T_MAXIMIZED=FALSE&amp;VAR:CALENDAR=FIVEDAY&amp;VAR:SYMBOL=B5B8GW&amp;VAR:INDEX=0"}</definedName>
    <definedName name="_20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48"}</definedName>
    <definedName name="_204__FDSAUDITLINK__" hidden="1">{"fdsup://directions/FAT Viewer?action=UPDATE&amp;creator=factset&amp;DYN_ARGS=TRUE&amp;DOC_NAME=FAT:FQL_AUDITING_CLIENT_TEMPLATE.FAT&amp;display_string=Audit&amp;VAR:KEY=QBSHMBETOD&amp;VAR:QUERY=RkZfRUJJVF9PUEVSKEFOTiwyMDA5LCwsLFVTRCk=&amp;WINDOW=FIRST_POPUP&amp;HEIGHT=450&amp;WIDTH=450&amp;STAR","T_MAXIMIZED=FALSE&amp;VAR:CALENDAR=FIVEDAY&amp;VAR:SYMBOL=B5B8GW&amp;VAR:INDEX=0"}</definedName>
    <definedName name="_20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47"}</definedName>
    <definedName name="_205__FDSAUDITLINK__" hidden="1">{"fdsup://directions/FAT Viewer?action=UPDATE&amp;creator=factset&amp;DYN_ARGS=TRUE&amp;DOC_NAME=FAT:FQL_AUDITING_CLIENT_TEMPLATE.FAT&amp;display_string=Audit&amp;VAR:KEY=ULAPKDCXIV&amp;VAR:QUERY=RkZfRUJJVF9PUEVSKEFOTiwyMDEwLCwsLFVTRCk=&amp;WINDOW=FIRST_POPUP&amp;HEIGHT=450&amp;WIDTH=450&amp;STAR","T_MAXIMIZED=FALSE&amp;VAR:CALENDAR=FIVEDAY&amp;VAR:SYMBOL=B1H11J&amp;VAR:INDEX=0"}</definedName>
    <definedName name="_20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46"}</definedName>
    <definedName name="_206__FDSAUDITLINK__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46"}</definedName>
    <definedName name="_20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45"}</definedName>
    <definedName name="_207__FDSAUDITLINK__" hidden="1">{"fdsup://directions/FAT Viewer?action=UPDATE&amp;creator=factset&amp;DYN_ARGS=TRUE&amp;DOC_NAME=FAT:FQL_AUDITING_CLIENT_TEMPLATE.FAT&amp;display_string=Audit&amp;VAR:KEY=SXWFAHSDIZ&amp;VAR:QUERY=RkZfRUJJVF9PUEVSKEFOTiwyMDEwLCwsLFVTRCk=&amp;WINDOW=FIRST_POPUP&amp;HEIGHT=450&amp;WIDTH=450&amp;STAR","T_MAXIMIZED=FALSE&amp;VAR:CALENDAR=FIVEDAY&amp;VAR:SYMBOL=B58MYJ&amp;VAR:INDEX=0"}</definedName>
    <definedName name="_20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44"}</definedName>
    <definedName name="_208__FDSAUDITLINK__" hidden="1">{"fdsup://directions/FAT Viewer?action=UPDATE&amp;creator=factset&amp;DYN_ARGS=TRUE&amp;DOC_NAME=FAT:FQL_AUDITING_CLIENT_TEMPLATE.FAT&amp;display_string=Audit&amp;VAR:KEY=MXYVUHYZCB&amp;VAR:QUERY=RkZfRUJJVF9PUEVSKEFOTiwyMDA5LCwsLFVTRCk=&amp;WINDOW=FIRST_POPUP&amp;HEIGHT=450&amp;WIDTH=450&amp;STAR","T_MAXIMIZED=FALSE&amp;VAR:CALENDAR=FIVEDAY&amp;VAR:SYMBOL=B58MYJ&amp;VAR:INDEX=0"}</definedName>
    <definedName name="_20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43"}</definedName>
    <definedName name="_209__FDSAUDITLINK__" hidden="1">{"fdsup://directions/FAT Viewer?action=UPDATE&amp;creator=factset&amp;DYN_ARGS=TRUE&amp;DOC_NAME=FAT:FQL_AUDITING_CLIENT_TEMPLATE.FAT&amp;display_string=Audit&amp;VAR:KEY=AZOPAFMXSR&amp;VAR:QUERY=RkZfRUJJVF9PUEVSKEFOTiwyMDEwLCwsLFVTRCk=&amp;WINDOW=FIRST_POPUP&amp;HEIGHT=450&amp;WIDTH=450&amp;STAR","T_MAXIMIZED=FALSE&amp;VAR:CALENDAR=FIVEDAY&amp;VAR:SYMBOL=B0D5V5&amp;VAR:INDEX=0"}</definedName>
    <definedName name="_21" hidden="1">#REF!</definedName>
    <definedName name="_21__123Graph_AChart_1" hidden="1">#REF!</definedName>
    <definedName name="_21__123Graph_ACHART_2" localSheetId="0" hidden="1">#REF!</definedName>
    <definedName name="_21__123Graph_AChart_2" hidden="1">#REF!</definedName>
    <definedName name="_21__123Graph_BCHART_1" hidden="1">#REF!</definedName>
    <definedName name="_21__123Graph_DCHART_15" hidden="1">#REF!</definedName>
    <definedName name="_21__123Graph_LBL_ACHART_14" hidden="1">#REF!</definedName>
    <definedName name="_21__123Graph_LBL_CCHART_3" hidden="1">#REF!</definedName>
    <definedName name="_21__123Graph_XCHART_4" hidden="1">#REF!</definedName>
    <definedName name="_21__123Graph_XChart_6" hidden="1">#REF!</definedName>
    <definedName name="_21__FDSAUDITLINK__" localSheetId="0" hidden="1">{"fdsup://Directions/FactSet Auditing Viewer?action=AUDIT_VALUE&amp;DB=129&amp;ID1=692737&amp;VALUEID=01551&amp;SDATE=2008&amp;PERIODTYPE=ANN_STD&amp;window=popup_no_bar&amp;width=385&amp;height=120&amp;START_MAXIMIZED=FALSE&amp;creator=factset&amp;display_string=Audit"}</definedName>
    <definedName name="_21__FDSAUDITLINK__" hidden="1">{"fdsup://directions/FAT Viewer?action=UPDATE&amp;creator=factset&amp;DYN_ARGS=TRUE&amp;DOC_NAME=FAT:FQL_AUDITING_CLIENT_TEMPLATE.FAT&amp;display_string=Audit&amp;VAR:KEY=UJKFMLOZIV&amp;VAR:QUERY=RkZfRUJJVERBX09QRVJfTUdOKEFOTiwyMDEwKQ==&amp;WINDOW=FIRST_POPUP&amp;HEIGHT=450&amp;WIDTH=450&amp;STAR","T_MAXIMIZED=FALSE&amp;VAR:CALENDAR=FIVEDAY&amp;VAR:SYMBOL=769426&amp;VAR:INDEX=0"}</definedName>
    <definedName name="_21_0__123Grap" hidden="1">#REF!</definedName>
    <definedName name="_21_0__123Graph_CCHAR" hidden="1">#REF!</definedName>
    <definedName name="_21_0__123Graph_LBL_ACHAR" hidden="1">#REF!</definedName>
    <definedName name="_21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42"}</definedName>
    <definedName name="_210__FDSAUDITLINK__" hidden="1">{"fdsup://directions/FAT Viewer?action=UPDATE&amp;creator=factset&amp;DYN_ARGS=TRUE&amp;DOC_NAME=FAT:FQL_AUDITING_CLIENT_TEMPLATE.FAT&amp;display_string=Audit&amp;VAR:KEY=WDETKJSHML&amp;VAR:QUERY=RkZfRUJJVF9PUEVSKEFOTiwyMDA5LCwsLFVTRCk=&amp;WINDOW=FIRST_POPUP&amp;HEIGHT=450&amp;WIDTH=450&amp;STAR","T_MAXIMIZED=FALSE&amp;VAR:CALENDAR=FIVEDAY&amp;VAR:SYMBOL=B0D5V5&amp;VAR:INDEX=0"}</definedName>
    <definedName name="_21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41"}</definedName>
    <definedName name="_211__FDSAUDITLINK__" hidden="1">{"fdsup://directions/FAT Viewer?action=UPDATE&amp;creator=factset&amp;DYN_ARGS=TRUE&amp;DOC_NAME=FAT:FQL_AUDITING_CLIENT_TEMPLATE.FAT&amp;display_string=Audit&amp;VAR:KEY=MVGFEXIDEP&amp;VAR:QUERY=RkZfRUJJVF9PUEVSKEFOTiwyMDEwLCwsLFVTRCk=&amp;WINDOW=FIRST_POPUP&amp;HEIGHT=450&amp;WIDTH=450&amp;STAR","T_MAXIMIZED=FALSE&amp;VAR:CALENDAR=FIVEDAY&amp;VAR:SYMBOL=B1J1MT&amp;VAR:INDEX=0"}</definedName>
    <definedName name="_21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40"}</definedName>
    <definedName name="_212__FDSAUDITLINK__" hidden="1">{"fdsup://directions/FAT Viewer?action=UPDATE&amp;creator=factset&amp;DYN_ARGS=TRUE&amp;DOC_NAME=FAT:FQL_AUDITING_CLIENT_TEMPLATE.FAT&amp;display_string=Audit&amp;VAR:KEY=SFKLKVYJGD&amp;VAR:QUERY=RkZfRUJJVF9PUEVSKEFOTiwyMDA5LCwsLFVTRCk=&amp;WINDOW=FIRST_POPUP&amp;HEIGHT=450&amp;WIDTH=450&amp;STAR","T_MAXIMIZED=FALSE&amp;VAR:CALENDAR=FIVEDAY&amp;VAR:SYMBOL=B1J1MT&amp;VAR:INDEX=0"}</definedName>
    <definedName name="_21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39"}</definedName>
    <definedName name="_213__FDSAUDITLINK__" hidden="1">{"fdsup://directions/FAT Viewer?action=UPDATE&amp;creator=factset&amp;DYN_ARGS=TRUE&amp;DOC_NAME=FAT:FQL_AUDITING_CLIENT_TEMPLATE.FAT&amp;display_string=Audit&amp;VAR:KEY=ALUTQJMDOD&amp;VAR:QUERY=RkZfRUJJVF9PUEVSKEFOTiwyMDEwLCwsLFVTRCk=&amp;WINDOW=FIRST_POPUP&amp;HEIGHT=450&amp;WIDTH=450&amp;STAR","T_MAXIMIZED=FALSE&amp;VAR:CALENDAR=FIVEDAY&amp;VAR:SYMBOL=769426&amp;VAR:INDEX=0"}</definedName>
    <definedName name="_21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38"}</definedName>
    <definedName name="_214__FDSAUDITLINK__" hidden="1">{"fdsup://directions/FAT Viewer?action=UPDATE&amp;creator=factset&amp;DYN_ARGS=TRUE&amp;DOC_NAME=FAT:FQL_AUDITING_CLIENT_TEMPLATE.FAT&amp;display_string=Audit&amp;VAR:KEY=OXQDMTSLQL&amp;VAR:QUERY=RkZfRUJJVF9PUEVSKEFOTiwyMDA5LCwsLFVTRCk=&amp;WINDOW=FIRST_POPUP&amp;HEIGHT=450&amp;WIDTH=450&amp;STAR","T_MAXIMIZED=FALSE&amp;VAR:CALENDAR=FIVEDAY&amp;VAR:SYMBOL=769426&amp;VAR:INDEX=0"}</definedName>
    <definedName name="_21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37"}</definedName>
    <definedName name="_215__FDSAUDITLINK__" hidden="1">{"fdsup://Directions/FactSet Auditing Viewer?action=AUDIT_VALUE&amp;DB=129&amp;ID1=B59Q6G&amp;VALUEID=01001&amp;SDATE=2010&amp;PERIODTYPE=ANN_STD&amp;SCFT=3&amp;window=popup_no_bar&amp;width=385&amp;height=120&amp;START_MAXIMIZED=FALSE&amp;creator=factset&amp;display_string=Audit"}</definedName>
    <definedName name="_21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36"}</definedName>
    <definedName name="_216__FDSAUDITLINK__" hidden="1">{"fdsup://Directions/FactSet Auditing Viewer?action=AUDIT_VALUE&amp;DB=129&amp;ID1=B59Q6G&amp;VALUEID=01001&amp;SDATE=2009&amp;PERIODTYPE=ANN_STD&amp;SCFT=3&amp;window=popup_no_bar&amp;width=385&amp;height=120&amp;START_MAXIMIZED=FALSE&amp;creator=factset&amp;display_string=Audit"}</definedName>
    <definedName name="_21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35"}</definedName>
    <definedName name="_217__FDSAUDITLINK__" hidden="1">{"fdsup://Directions/FactSet Auditing Viewer?action=AUDIT_VALUE&amp;DB=129&amp;ID1=B5B8GW&amp;VALUEID=01001&amp;SDATE=2010&amp;PERIODTYPE=ANN_STD&amp;SCFT=3&amp;window=popup_no_bar&amp;width=385&amp;height=120&amp;START_MAXIMIZED=FALSE&amp;creator=factset&amp;display_string=Audit"}</definedName>
    <definedName name="_21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34"}</definedName>
    <definedName name="_218__FDSAUDITLINK__" hidden="1">{"fdsup://Directions/FactSet Auditing Viewer?action=AUDIT_VALUE&amp;DB=129&amp;ID1=B5B8GW&amp;VALUEID=01001&amp;SDATE=2009&amp;PERIODTYPE=ANN_STD&amp;SCFT=3&amp;window=popup_no_bar&amp;width=385&amp;height=120&amp;START_MAXIMIZED=FALSE&amp;creator=factset&amp;display_string=Audit"}</definedName>
    <definedName name="_21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33"}</definedName>
    <definedName name="_219__FDSAUDITLINK__" hidden="1">{"fdsup://directions/FAT Viewer?action=UPDATE&amp;creator=factset&amp;DYN_ARGS=TRUE&amp;DOC_NAME=FAT:FQL_AUDITING_CLIENT_TEMPLATE.FAT&amp;display_string=Audit&amp;VAR:KEY=WHUHQFOLQT&amp;VAR:QUERY=RkZfRU5UUlBSX1ZBTF9EQUlMWSg0MDc4MSwsLCxVU0QsJ0RJTCcp&amp;WINDOW=FIRST_POPUP&amp;HEIGHT=450&amp;WI","DTH=450&amp;START_MAXIMIZED=FALSE&amp;VAR:CALENDAR=FIVEDAY&amp;VAR:SYMBOL=B5TWX8&amp;VAR:INDEX=0"}</definedName>
    <definedName name="_22__123Graph_AChart_2" hidden="1">#REF!</definedName>
    <definedName name="_22__123Graph_AChart_3" hidden="1">#REF!</definedName>
    <definedName name="_22__123Graph_BCHART_14" hidden="1">#REF!</definedName>
    <definedName name="_22__123Graph_DCHART_18" hidden="1">#REF!</definedName>
    <definedName name="_22__123Graph_LBL_ACHART_19" hidden="1">#REF!</definedName>
    <definedName name="_22__123Graph_LBL_DCHART_1" hidden="1">#REF!</definedName>
    <definedName name="_22__123Graph_XCHART_8" hidden="1">#REF!</definedName>
    <definedName name="_22__FDSAUDITLINK__" localSheetId="0" hidden="1">{"fdsup://Directions/FactSet Auditing Viewer?action=AUDIT_VALUE&amp;DB=129&amp;ID1=692737&amp;VALUEID=01551&amp;SDATE=2007&amp;PERIODTYPE=ANN_STD&amp;window=popup_no_bar&amp;width=385&amp;height=120&amp;START_MAXIMIZED=FALSE&amp;creator=factset&amp;display_string=Audit"}</definedName>
    <definedName name="_22__FDSAUDITLINK__" hidden="1">{"fdsup://directions/FAT Viewer?action=UPDATE&amp;creator=factset&amp;DYN_ARGS=TRUE&amp;DOC_NAME=FAT:FQL_AUDITING_CLIENT_TEMPLATE.FAT&amp;display_string=Audit&amp;VAR:KEY=OVILQVYJIB&amp;VAR:QUERY=RkZfRUJJVERBX09QRVJfTUdOKEFOTiwyMDA5LCwsLFVTRCk=&amp;WINDOW=FIRST_POPUP&amp;HEIGHT=450&amp;WIDTH=","450&amp;START_MAXIMIZED=FALSE&amp;VAR:CALENDAR=FIVEDAY&amp;VAR:SYMBOL=769426&amp;VAR:INDEX=0"}</definedName>
    <definedName name="_22_0__123Graph_LBL_ACHAR" hidden="1">#REF!</definedName>
    <definedName name="_22_0_0__123Grap" hidden="1">#REF!</definedName>
    <definedName name="_22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32"}</definedName>
    <definedName name="_220__FDSAUDITLINK__" hidden="1">{"fdsup://directions/FAT Viewer?action=UPDATE&amp;creator=factset&amp;DYN_ARGS=TRUE&amp;DOC_NAME=FAT:FQL_AUDITING_CLIENT_TEMPLATE.FAT&amp;display_string=Audit&amp;VAR:KEY=GXQHEPQNGH&amp;VAR:QUERY=RkZfRU5UUlBSX1ZBTF9EQUlMWSg0MDc4MSwsLCxVU0QsJ0RJTCcp&amp;WINDOW=FIRST_POPUP&amp;HEIGHT=450&amp;WI","DTH=450&amp;START_MAXIMIZED=FALSE&amp;VAR:CALENDAR=FIVEDAY&amp;VAR:SYMBOL=B59Q6G&amp;VAR:INDEX=0"}</definedName>
    <definedName name="_22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31"}</definedName>
    <definedName name="_221__FDSAUDITLINK__" hidden="1">{"fdsup://Directions/FactSet Auditing Viewer?action=AUDIT_VALUE&amp;DB=129&amp;ID1=B59Q6G&amp;VALUEID=05194&amp;SDATE=2010&amp;PERIODTYPE=ANN_STD&amp;SCFT=3&amp;window=popup_no_bar&amp;width=385&amp;height=120&amp;START_MAXIMIZED=FALSE&amp;creator=factset&amp;display_string=Audit"}</definedName>
    <definedName name="_22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30"}</definedName>
    <definedName name="_222__FDSAUDITLINK__" hidden="1">{"fdsup://directions/FAT Viewer?action=UPDATE&amp;creator=factset&amp;DYN_ARGS=TRUE&amp;DOC_NAME=FAT:FQL_AUDITING_CLIENT_TEMPLATE.FAT&amp;display_string=Audit&amp;VAR:KEY=AHQFURUTCR&amp;VAR:QUERY=RkZfRU5UUlBSX1ZBTF9EQUlMWSg0MDc4MSwsLCxVU0QsJ0RJTCcp&amp;WINDOW=FIRST_POPUP&amp;HEIGHT=450&amp;WI","DTH=450&amp;START_MAXIMIZED=FALSE&amp;VAR:CALENDAR=FIVEDAY&amp;VAR:SYMBOL=B59F84&amp;VAR:INDEX=0"}</definedName>
    <definedName name="_22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29"}</definedName>
    <definedName name="_223__FDSAUDITLINK__" hidden="1">{"fdsup://Directions/FactSet Auditing Viewer?action=AUDIT_VALUE&amp;DB=129&amp;ID1=B59F84&amp;VALUEID=05194&amp;SDATE=2010&amp;PERIODTYPE=ANN_STD&amp;SCFT=3&amp;window=popup_no_bar&amp;width=385&amp;height=120&amp;START_MAXIMIZED=FALSE&amp;creator=factset&amp;display_string=Audit"}</definedName>
    <definedName name="_22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28"}</definedName>
    <definedName name="_224__FDSAUDITLINK__" hidden="1">{"fdsup://directions/FAT Viewer?action=UPDATE&amp;creator=factset&amp;DYN_ARGS=TRUE&amp;DOC_NAME=FAT:FQL_AUDITING_CLIENT_TEMPLATE.FAT&amp;display_string=Audit&amp;VAR:KEY=KLIHAJGVGR&amp;VAR:QUERY=RkZfRU5UUlBSX1ZBTF9EQUlMWSg0MDc4MSwsLCxVU0QsJ0RJTCcp&amp;WINDOW=FIRST_POPUP&amp;HEIGHT=450&amp;WI","DTH=450&amp;START_MAXIMIZED=FALSE&amp;VAR:CALENDAR=FIVEDAY&amp;VAR:SYMBOL=B5B8GW&amp;VAR:INDEX=0"}</definedName>
    <definedName name="_22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27"}</definedName>
    <definedName name="_225__FDSAUDITLINK__" hidden="1">{"fdsup://Directions/FactSet Auditing Viewer?action=AUDIT_VALUE&amp;DB=129&amp;ID1=B5B8GW&amp;VALUEID=05194&amp;SDATE=2010&amp;PERIODTYPE=ANN_STD&amp;SCFT=3&amp;window=popup_no_bar&amp;width=385&amp;height=120&amp;START_MAXIMIZED=FALSE&amp;creator=factset&amp;display_string=Audit"}</definedName>
    <definedName name="_22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26"}</definedName>
    <definedName name="_226__FDSAUDITLINK__" hidden="1">{"fdsup://directions/FAT Viewer?action=UPDATE&amp;creator=factset&amp;DYN_ARGS=TRUE&amp;DOC_NAME=FAT:FQL_AUDITING_CLIENT_TEMPLATE.FAT&amp;display_string=Audit&amp;VAR:KEY=KTQBSFMFSR&amp;VAR:QUERY=RkZfRU5UUlBSX1ZBTF9EQUlMWSg0MDc4MSwsLCxVU0QsJ0RJTCcp&amp;WINDOW=FIRST_POPUP&amp;HEIGHT=450&amp;WI","DTH=450&amp;START_MAXIMIZED=FALSE&amp;VAR:CALENDAR=FIVEDAY&amp;VAR:SYMBOL=B1H11J&amp;VAR:INDEX=0"}</definedName>
    <definedName name="_22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25"}</definedName>
    <definedName name="_227__FDSAUDITLINK__" hidden="1">{"fdsup://Directions/FactSet Auditing Viewer?action=AUDIT_VALUE&amp;DB=129&amp;ID1=B1H11J&amp;VALUEID=05194&amp;SDATE=2010&amp;PERIODTYPE=ANN_STD&amp;SCFT=3&amp;window=popup_no_bar&amp;width=385&amp;height=120&amp;START_MAXIMIZED=FALSE&amp;creator=factset&amp;display_string=Audit"}</definedName>
    <definedName name="_22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"}</definedName>
    <definedName name="_228__FDSAUDITLINK__" hidden="1">{"fdsup://directions/FAT Viewer?action=UPDATE&amp;creator=factset&amp;DYN_ARGS=TRUE&amp;DOC_NAME=FAT:FQL_AUDITING_CLIENT_TEMPLATE.FAT&amp;display_string=Audit&amp;VAR:KEY=CXCXSRCRYV&amp;VAR:QUERY=RkZfRU5UUlBSX1ZBTF9EQUlMWSg0MDc4MSwsLCxVU0QsJ0RJTCcp&amp;WINDOW=FIRST_POPUP&amp;HEIGHT=450&amp;WI","DTH=450&amp;START_MAXIMIZED=FALSE&amp;VAR:CALENDAR=FIVEDAY&amp;VAR:SYMBOL=B599D1&amp;VAR:INDEX=0"}</definedName>
    <definedName name="_22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"}</definedName>
    <definedName name="_229__FDSAUDITLINK__" hidden="1">{"fdsup://directions/FAT Viewer?action=UPDATE&amp;creator=factset&amp;DYN_ARGS=TRUE&amp;DOC_NAME=FAT:FQL_AUDITING_CLIENT_TEMPLATE.FAT&amp;display_string=Audit&amp;VAR:KEY=AZUTGFGXQX&amp;VAR:QUERY=RkZfRU5UUlBSX1ZBTF9EQUlMWSg0MDc4MSwsLCxVU0QsJ0RJTCcp&amp;WINDOW=FIRST_POPUP&amp;HEIGHT=450&amp;WI","DTH=450&amp;START_MAXIMIZED=FALSE&amp;VAR:CALENDAR=FIVEDAY&amp;VAR:SYMBOL=B58MYJ&amp;VAR:INDEX=0"}</definedName>
    <definedName name="_22O1_" localSheetId="0" hidden="1">{#N/A,#N/A,FALSE,"970301";#N/A,#N/A,FALSE,"970302";#N/A,#N/A,FALSE,"970303";#N/A,#N/A,FALSE,"970304";#N/A,#N/A,FALSE,"COM1";#N/A,#N/A,FALSE,"COM2"}</definedName>
    <definedName name="_22O1_" hidden="1">{#N/A,#N/A,FALSE,"970301";#N/A,#N/A,FALSE,"970302";#N/A,#N/A,FALSE,"970303";#N/A,#N/A,FALSE,"970304";#N/A,#N/A,FALSE,"COM1";#N/A,#N/A,FALSE,"COM2"}</definedName>
    <definedName name="_23__123Graph_AChart_3" hidden="1">#REF!</definedName>
    <definedName name="_23__123Graph_AChart_4" hidden="1">#REF!</definedName>
    <definedName name="_23__123Graph_BCHART_19" hidden="1">#REF!</definedName>
    <definedName name="_23__123Graph_LBL_ACHART_15" hidden="1">#REF!</definedName>
    <definedName name="_23__123Graph_LBL_ACHART_20" hidden="1">#REF!</definedName>
    <definedName name="_23__123Graph_XCHART_1" hidden="1">#REF!</definedName>
    <definedName name="_23__FDSAUDITLINK__" localSheetId="0" hidden="1">{"fdsup://Directions/FactSet Auditing Viewer?action=AUDIT_VALUE&amp;DB=129&amp;ID1=692737&amp;VALUEID=01001&amp;SDATE=2009&amp;PERIODTYPE=ANN_STD&amp;window=popup_no_bar&amp;width=385&amp;height=120&amp;START_MAXIMIZED=FALSE&amp;creator=factset&amp;display_string=Audit"}</definedName>
    <definedName name="_23__FDSAUDITLINK__" hidden="1">{"fdsup://directions/FAT Viewer?action=UPDATE&amp;creator=factset&amp;DYN_ARGS=TRUE&amp;DOC_NAME=FAT:FQL_AUDITING_CLIENT_TEMPLATE.FAT&amp;display_string=Audit&amp;VAR:KEY=CFULWTUXCV&amp;VAR:QUERY=RkZfRUJJVF9PUEVSX01HTihBTk4sMjAxMCk=&amp;WINDOW=FIRST_POPUP&amp;HEIGHT=450&amp;WIDTH=450&amp;START_MA","XIMIZED=FALSE&amp;VAR:CALENDAR=FIVEDAY&amp;VAR:SYMBOL=B5TWX8&amp;VAR:INDEX=0"}</definedName>
    <definedName name="_23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"}</definedName>
    <definedName name="_230__FDSAUDITLINK__" hidden="1">{"fdsup://Directions/FactSet Auditing Viewer?action=AUDIT_VALUE&amp;DB=129&amp;ID1=B58MYJ&amp;VALUEID=05194&amp;SDATE=2010&amp;PERIODTYPE=ANN_STD&amp;SCFT=3&amp;window=popup_no_bar&amp;width=385&amp;height=120&amp;START_MAXIMIZED=FALSE&amp;creator=factset&amp;display_string=Audit"}</definedName>
    <definedName name="_23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"}</definedName>
    <definedName name="_231__FDSAUDITLINK__" hidden="1">{"fdsup://directions/FAT Viewer?action=UPDATE&amp;creator=factset&amp;DYN_ARGS=TRUE&amp;DOC_NAME=FAT:FQL_AUDITING_CLIENT_TEMPLATE.FAT&amp;display_string=Audit&amp;VAR:KEY=QVWLAVWXYH&amp;VAR:QUERY=RkZfRU5UUlBSX1ZBTF9EQUlMWSg0MDc4MSwsLCxVU0QsJ0RJTCcp&amp;WINDOW=FIRST_POPUP&amp;HEIGHT=450&amp;WI","DTH=450&amp;START_MAXIMIZED=FALSE&amp;VAR:CALENDAR=FIVEDAY&amp;VAR:SYMBOL=B1VZKH&amp;VAR:INDEX=0"}</definedName>
    <definedName name="_23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"}</definedName>
    <definedName name="_232__FDSAUDITLINK__" hidden="1">{"fdsup://directions/FAT Viewer?action=UPDATE&amp;creator=factset&amp;DYN_ARGS=TRUE&amp;DOC_NAME=FAT:FQL_AUDITING_CLIENT_TEMPLATE.FAT&amp;display_string=Audit&amp;VAR:KEY=IPWPMLKRGR&amp;VAR:QUERY=RkZfRU5UUlBSX1ZBTF9EQUlMWSg0MDc4MSwsLCxVU0QsJ0RJTCcp&amp;WINDOW=FIRST_POPUP&amp;HEIGHT=450&amp;WI","DTH=450&amp;START_MAXIMIZED=FALSE&amp;VAR:CALENDAR=FIVEDAY&amp;VAR:SYMBOL=B0D5V5&amp;VAR:INDEX=0"}</definedName>
    <definedName name="_23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"}</definedName>
    <definedName name="_233__FDSAUDITLINK__" hidden="1">{"fdsup://Directions/FactSet Auditing Viewer?action=AUDIT_VALUE&amp;DB=129&amp;ID1=B0D5V5&amp;VALUEID=05194&amp;SDATE=2010&amp;PERIODTYPE=ANN_STD&amp;SCFT=3&amp;window=popup_no_bar&amp;width=385&amp;height=120&amp;START_MAXIMIZED=FALSE&amp;creator=factset&amp;display_string=Audit"}</definedName>
    <definedName name="_23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"}</definedName>
    <definedName name="_234__FDSAUDITLINK__" hidden="1">{"fdsup://directions/FAT Viewer?action=UPDATE&amp;creator=factset&amp;DYN_ARGS=TRUE&amp;DOC_NAME=FAT:FQL_AUDITING_CLIENT_TEMPLATE.FAT&amp;display_string=Audit&amp;VAR:KEY=ODKDSBENQB&amp;VAR:QUERY=RkZfRU5UUlBSX1ZBTF9EQUlMWSg0MDc4MSwsLCxVU0QsJ0RJTCcp&amp;WINDOW=FIRST_POPUP&amp;HEIGHT=450&amp;WI","DTH=450&amp;START_MAXIMIZED=FALSE&amp;VAR:CALENDAR=FIVEDAY&amp;VAR:SYMBOL=B1J1MT&amp;VAR:INDEX=0"}</definedName>
    <definedName name="_23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"}</definedName>
    <definedName name="_235__FDSAUDITLINK__" hidden="1">{"fdsup://Directions/FactSet Auditing Viewer?action=AUDIT_VALUE&amp;DB=129&amp;ID1=B1J1MT&amp;VALUEID=05194&amp;SDATE=2010&amp;PERIODTYPE=ANN_STD&amp;SCFT=3&amp;window=popup_no_bar&amp;width=385&amp;height=120&amp;START_MAXIMIZED=FALSE&amp;creator=factset&amp;display_string=Audit"}</definedName>
    <definedName name="_23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"}</definedName>
    <definedName name="_236__FDSAUDITLINK__" hidden="1">{"fdsup://directions/FAT Viewer?action=UPDATE&amp;creator=factset&amp;DYN_ARGS=TRUE&amp;DOC_NAME=FAT:FQL_AUDITING_CLIENT_TEMPLATE.FAT&amp;display_string=Audit&amp;VAR:KEY=UPQTERWVOL&amp;VAR:QUERY=RkZfRU5UUlBSX1ZBTF9EQUlMWSg0MDc4MSwsLCxVU0QsJ0RJTCcp&amp;WINDOW=FIRST_POPUP&amp;HEIGHT=450&amp;WI","DTH=450&amp;START_MAXIMIZED=FALSE&amp;VAR:CALENDAR=FIVEDAY&amp;VAR:SYMBOL=769426&amp;VAR:INDEX=0"}</definedName>
    <definedName name="_23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"}</definedName>
    <definedName name="_237__FDSAUDITLINK__" hidden="1">{"fdsup://Directions/FactSet Auditing Viewer?action=AUDIT_VALUE&amp;DB=129&amp;ID1=769426&amp;VALUEID=05194&amp;SDATE=2010&amp;PERIODTYPE=ANN_STD&amp;SCFT=3&amp;window=popup_no_bar&amp;width=385&amp;height=120&amp;START_MAXIMIZED=FALSE&amp;creator=factset&amp;display_string=Audit"}</definedName>
    <definedName name="_23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"}</definedName>
    <definedName name="_238__FDSAUDITLINK__" hidden="1">{"fdsup://directions/FAT Viewer?action=UPDATE&amp;creator=factset&amp;DYN_ARGS=TRUE&amp;DOC_NAME=FAT:FQL_AUDITING_CLIENT_TEMPLATE.FAT&amp;display_string=Audit&amp;VAR:KEY=INOJIHCLML&amp;VAR:QUERY=RkZfRUJJVF9PUEVSKEFOTiwyMDA5LCwsLFVTRCk=&amp;WINDOW=FIRST_POPUP&amp;HEIGHT=450&amp;WIDTH=450&amp;STAR","T_MAXIMIZED=FALSE&amp;VAR:CALENDAR=FIVEDAY&amp;VAR:SYMBOL=B1J1MT&amp;VAR:INDEX=0"}</definedName>
    <definedName name="_23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"}</definedName>
    <definedName name="_239__FDSAUDITLINK__" hidden="1">{"fdsup://directions/FAT Viewer?action=UPDATE&amp;creator=factset&amp;DYN_ARGS=TRUE&amp;DOC_NAME=FAT:FQL_AUDITING_CLIENT_TEMPLATE.FAT&amp;display_string=Audit&amp;VAR:KEY=WDAHKJOVGX&amp;VAR:QUERY=RkZfRUJJVF9PUEVSKEFOTiwyMDEwLCwsLFVTRCk=&amp;WINDOW=FIRST_POPUP&amp;HEIGHT=450&amp;WIDTH=450&amp;STAR","T_MAXIMIZED=FALSE&amp;VAR:CALENDAR=FIVEDAY&amp;VAR:SYMBOL=B0D5V5&amp;VAR:INDEX=0"}</definedName>
    <definedName name="_24__123Graph_AChart_4" hidden="1">#REF!</definedName>
    <definedName name="_24__123Graph_AChart_5" hidden="1">#REF!</definedName>
    <definedName name="_24__123Graph_LBL_ACHART_18" hidden="1">#REF!</definedName>
    <definedName name="_24__123Graph_LBL_BCHART_14" hidden="1">#REF!</definedName>
    <definedName name="_24__123Graph_XCHART_3" hidden="1">#REF!</definedName>
    <definedName name="_24__FDSAUDITLINK__" localSheetId="0" hidden="1">{"fdsup://Directions/FactSet Auditing Viewer?action=AUDIT_VALUE&amp;DB=129&amp;ID1=692737&amp;VALUEID=01001&amp;SDATE=2008&amp;PERIODTYPE=ANN_STD&amp;window=popup_no_bar&amp;width=385&amp;height=120&amp;START_MAXIMIZED=FALSE&amp;creator=factset&amp;display_string=Audit"}</definedName>
    <definedName name="_24__FDSAUDITLINK__" hidden="1">{"fdsup://directions/FAT Viewer?action=UPDATE&amp;creator=factset&amp;DYN_ARGS=TRUE&amp;DOC_NAME=FAT:FQL_AUDITING_CLIENT_TEMPLATE.FAT&amp;display_string=Audit&amp;VAR:KEY=OBEXEHKBET&amp;VAR:QUERY=RkZfRUJJVF9PUEVSX01HTihBTk4sMjAwOSwsLCxVU0Qp&amp;WINDOW=FIRST_POPUP&amp;HEIGHT=450&amp;WIDTH=450&amp;","START_MAXIMIZED=FALSE&amp;VAR:CALENDAR=FIVEDAY&amp;VAR:SYMBOL=B5TWX8&amp;VAR:INDEX=0"}</definedName>
    <definedName name="_24_0__123Graph_ACHAR" hidden="1">#REF!</definedName>
    <definedName name="_24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"}</definedName>
    <definedName name="_240__FDSAUDITLINK__" hidden="1">{"fdsup://directions/FAT Viewer?action=UPDATE&amp;creator=factset&amp;DYN_ARGS=TRUE&amp;DOC_NAME=FAT:FQL_AUDITING_CLIENT_TEMPLATE.FAT&amp;display_string=Audit&amp;VAR:KEY=UPWHYRQRML&amp;VAR:QUERY=RkZfRUJJVF9PUEVSKEFOTiwyMDA5LCwsLFVTRCk=&amp;WINDOW=FIRST_POPUP&amp;HEIGHT=450&amp;WIDTH=450&amp;STAR","T_MAXIMIZED=FALSE&amp;VAR:CALENDAR=FIVEDAY&amp;VAR:SYMBOL=B0D5V5&amp;VAR:INDEX=0"}</definedName>
    <definedName name="_24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"}</definedName>
    <definedName name="_241__FDSAUDITLINK__" hidden="1">{"fdsup://directions/FAT Viewer?action=UPDATE&amp;creator=factset&amp;DYN_ARGS=TRUE&amp;DOC_NAME=FAT:FQL_AUDITING_CLIENT_TEMPLATE.FAT&amp;display_string=Audit&amp;VAR:KEY=IHQZUJEFWV&amp;VAR:QUERY=RkZfRUJJVF9PUEVSKEFOTiwyMDEwLCwsLFVTRCk=&amp;WINDOW=FIRST_POPUP&amp;HEIGHT=450&amp;WIDTH=450&amp;STAR","T_MAXIMIZED=FALSE&amp;VAR:CALENDAR=FIVEDAY&amp;VAR:SYMBOL=B59F84&amp;VAR:INDEX=0"}</definedName>
    <definedName name="_24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"}</definedName>
    <definedName name="_242__FDSAUDITLINK__" hidden="1">{"fdsup://directions/FAT Viewer?action=UPDATE&amp;creator=factset&amp;DYN_ARGS=TRUE&amp;DOC_NAME=FAT:FQL_AUDITING_CLIENT_TEMPLATE.FAT&amp;display_string=Audit&amp;VAR:KEY=OZQBKXWPUB&amp;VAR:QUERY=RkZfRUJJVF9PUEVSKEFOTiwyMDA5LCwsLFVTRCk=&amp;WINDOW=FIRST_POPUP&amp;HEIGHT=450&amp;WIDTH=450&amp;STAR","T_MAXIMIZED=FALSE&amp;VAR:CALENDAR=FIVEDAY&amp;VAR:SYMBOL=B59F84&amp;VAR:INDEX=0"}</definedName>
    <definedName name="_24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"}</definedName>
    <definedName name="_243__FDSAUDITLINK__" hidden="1">{"fdsup://directions/FAT Viewer?action=UPDATE&amp;creator=factset&amp;DYN_ARGS=TRUE&amp;DOC_NAME=FAT:FQL_AUDITING_CLIENT_TEMPLATE.FAT&amp;display_string=Audit&amp;VAR:KEY=UNWHILQLAL&amp;VAR:QUERY=RkZfRUJJVF9PUEVSKEFOTiwyMDEwLCwsLFVTRCk=&amp;WINDOW=FIRST_POPUP&amp;HEIGHT=450&amp;WIDTH=450&amp;STAR","T_MAXIMIZED=FALSE&amp;VAR:CALENDAR=FIVEDAY&amp;VAR:SYMBOL=B1H11J&amp;VAR:INDEX=0"}</definedName>
    <definedName name="_24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"}</definedName>
    <definedName name="_244__FDSAUDITLINK__" hidden="1">{"fdsup://directions/FAT Viewer?action=UPDATE&amp;creator=factset&amp;DYN_ARGS=TRUE&amp;DOC_NAME=FAT:FQL_AUDITING_CLIENT_TEMPLATE.FAT&amp;display_string=Audit&amp;VAR:KEY=ARQXUXGFQZ&amp;VAR:QUERY=RkZfRUJJVF9PUEVSKEFOTiwyMDA5LCwsLFVTRCk=&amp;WINDOW=FIRST_POPUP&amp;HEIGHT=450&amp;WIDTH=450&amp;STAR","T_MAXIMIZED=FALSE&amp;VAR:CALENDAR=FIVEDAY&amp;VAR:SYMBOL=B1H11J&amp;VAR:INDEX=0"}</definedName>
    <definedName name="_24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"}</definedName>
    <definedName name="_245__FDSAUDITLINK__" hidden="1">{"fdsup://directions/FAT Viewer?action=UPDATE&amp;creator=factset&amp;DYN_ARGS=TRUE&amp;DOC_NAME=FAT:FQL_AUDITING_CLIENT_TEMPLATE.FAT&amp;display_string=Audit&amp;VAR:KEY=IVMNGPEHMH&amp;VAR:QUERY=RkZfRUJJVF9PUEVSKEFOTiwyMDEwLCwsLFVTRCk=&amp;WINDOW=FIRST_POPUP&amp;HEIGHT=450&amp;WIDTH=450&amp;STAR","T_MAXIMIZED=FALSE&amp;VAR:CALENDAR=FIVEDAY&amp;VAR:SYMBOL=B58MYJ&amp;VAR:INDEX=0"}</definedName>
    <definedName name="_24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"}</definedName>
    <definedName name="_246__FDSAUDITLINK__" hidden="1">{"fdsup://directions/FAT Viewer?action=UPDATE&amp;creator=factset&amp;DYN_ARGS=TRUE&amp;DOC_NAME=FAT:FQL_AUDITING_CLIENT_TEMPLATE.FAT&amp;display_string=Audit&amp;VAR:KEY=MLSVYHGNGV&amp;VAR:QUERY=RkZfRUJJVF9PUEVSKEFOTiwyMDA5LCwsLFVTRCk=&amp;WINDOW=FIRST_POPUP&amp;HEIGHT=450&amp;WIDTH=450&amp;STAR","T_MAXIMIZED=FALSE&amp;VAR:CALENDAR=FIVEDAY&amp;VAR:SYMBOL=B58MYJ&amp;VAR:INDEX=0"}</definedName>
    <definedName name="_24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"}</definedName>
    <definedName name="_247__FDSAUDITLINK__" hidden="1">{"fdsup://directions/FAT Viewer?action=UPDATE&amp;creator=factset&amp;DYN_ARGS=TRUE&amp;DOC_NAME=FAT:FQL_AUDITING_CLIENT_TEMPLATE.FAT&amp;display_string=Audit&amp;VAR:KEY=WDAHKJOVGX&amp;VAR:QUERY=RkZfRUJJVF9PUEVSKEFOTiwyMDEwLCwsLFVTRCk=&amp;WINDOW=FIRST_POPUP&amp;HEIGHT=450&amp;WIDTH=450&amp;STAR","T_MAXIMIZED=FALSE&amp;VAR:CALENDAR=FIVEDAY&amp;VAR:SYMBOL=B0D5V5&amp;VAR:INDEX=0"}</definedName>
    <definedName name="_24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"}</definedName>
    <definedName name="_248__FDSAUDITLINK__" hidden="1">{"fdsup://directions/FAT Viewer?action=UPDATE&amp;creator=factset&amp;DYN_ARGS=TRUE&amp;DOC_NAME=FAT:FQL_AUDITING_CLIENT_TEMPLATE.FAT&amp;display_string=Audit&amp;VAR:KEY=UPWHYRQRML&amp;VAR:QUERY=RkZfRUJJVF9PUEVSKEFOTiwyMDA5LCwsLFVTRCk=&amp;WINDOW=FIRST_POPUP&amp;HEIGHT=450&amp;WIDTH=450&amp;STAR","T_MAXIMIZED=FALSE&amp;VAR:CALENDAR=FIVEDAY&amp;VAR:SYMBOL=B0D5V5&amp;VAR:INDEX=0"}</definedName>
    <definedName name="_24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"}</definedName>
    <definedName name="_249__FDSAUDITLINK__" hidden="1">{"fdsup://directions/FAT Viewer?action=UPDATE&amp;creator=factset&amp;DYN_ARGS=TRUE&amp;DOC_NAME=FAT:FQL_AUDITING_CLIENT_TEMPLATE.FAT&amp;display_string=Audit&amp;VAR:KEY=CHOVANILSP&amp;VAR:QUERY=RkZfRUJJVF9PUEVSKEFOTiwyMDEwLCwsLFVTRCk=&amp;WINDOW=FIRST_POPUP&amp;HEIGHT=450&amp;WIDTH=450&amp;STAR","T_MAXIMIZED=FALSE&amp;VAR:CALENDAR=FIVEDAY&amp;VAR:SYMBOL=B1J1MT&amp;VAR:INDEX=0"}</definedName>
    <definedName name="_25__123Graph_AChart_5" hidden="1">#REF!</definedName>
    <definedName name="_25__123Graph_AChart_6" hidden="1">#REF!</definedName>
    <definedName name="_25__123Graph_BCHART_2" hidden="1">#REF!</definedName>
    <definedName name="_25__123Graph_LBL_BCHART_11" hidden="1">#REF!</definedName>
    <definedName name="_25__123Graph_LBL_BCHART_19" hidden="1">#REF!</definedName>
    <definedName name="_25__123Graph_XCHART_4" hidden="1">#REF!</definedName>
    <definedName name="_25__FDSAUDITLINK__" localSheetId="0" hidden="1">{"fdsup://Directions/FactSet Auditing Viewer?action=AUDIT_VALUE&amp;DB=129&amp;ID1=692737&amp;VALUEID=01001&amp;SDATE=2007&amp;PERIODTYPE=ANN_STD&amp;window=popup_no_bar&amp;width=385&amp;height=120&amp;START_MAXIMIZED=FALSE&amp;creator=factset&amp;display_string=Audit"}</definedName>
    <definedName name="_25__FDSAUDITLINK__" hidden="1">{"fdsup://directions/FAT Viewer?action=UPDATE&amp;creator=factset&amp;DYN_ARGS=TRUE&amp;DOC_NAME=FAT:FQL_AUDITING_CLIENT_TEMPLATE.FAT&amp;display_string=Audit&amp;VAR:KEY=WPKTOBOXYP&amp;VAR:QUERY=RkZfRUJJVF9PUEVSX01HTihBTk4sMjAxMCk=&amp;WINDOW=FIRST_POPUP&amp;HEIGHT=450&amp;WIDTH=450&amp;START_MA","XIMIZED=FALSE&amp;VAR:CALENDAR=FIVEDAY&amp;VAR:SYMBOL=B59Q6G&amp;VAR:INDEX=0"}</definedName>
    <definedName name="_25_0Rwvu.Pag" hidden="1">#REF!</definedName>
    <definedName name="_25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"}</definedName>
    <definedName name="_250__FDSAUDITLINK__" hidden="1">{"fdsup://directions/FAT Viewer?action=UPDATE&amp;creator=factset&amp;DYN_ARGS=TRUE&amp;DOC_NAME=FAT:FQL_AUDITING_CLIENT_TEMPLATE.FAT&amp;display_string=Audit&amp;VAR:KEY=INOJIHCLML&amp;VAR:QUERY=RkZfRUJJVF9PUEVSKEFOTiwyMDA5LCwsLFVTRCk=&amp;WINDOW=FIRST_POPUP&amp;HEIGHT=450&amp;WIDTH=450&amp;STAR","T_MAXIMIZED=FALSE&amp;VAR:CALENDAR=FIVEDAY&amp;VAR:SYMBOL=B1J1MT&amp;VAR:INDEX=0"}</definedName>
    <definedName name="_25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"}</definedName>
    <definedName name="_251__FDSAUDITLINK__" hidden="1">{"fdsup://directions/FAT Viewer?action=UPDATE&amp;creator=factset&amp;DYN_ARGS=TRUE&amp;DOC_NAME=FAT:FQL_AUDITING_CLIENT_TEMPLATE.FAT&amp;display_string=Audit&amp;VAR:KEY=UJWNOHGFMR&amp;VAR:QUERY=RkZfRUJJVF9PUEVSKEFOTiwyMDEwLCwsLFVTRCk=&amp;WINDOW=FIRST_POPUP&amp;HEIGHT=450&amp;WIDTH=450&amp;STAR","T_MAXIMIZED=FALSE&amp;VAR:CALENDAR=FIVEDAY&amp;VAR:SYMBOL=769426&amp;VAR:INDEX=0"}</definedName>
    <definedName name="_25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251"}</definedName>
    <definedName name="_252__FDSAUDITLINK__" hidden="1">{"fdsup://directions/FAT Viewer?action=UPDATE&amp;creator=factset&amp;DYN_ARGS=TRUE&amp;DOC_NAME=FAT:FQL_AUDITING_CLIENT_TEMPLATE.FAT&amp;display_string=Audit&amp;VAR:KEY=ITKBWHOHCX&amp;VAR:QUERY=RkZfRUJJVF9PUEVSKEFOTiwyMDA5LCwsLFVTRCk=&amp;WINDOW=FIRST_POPUP&amp;HEIGHT=450&amp;WIDTH=450&amp;STAR","T_MAXIMIZED=FALSE&amp;VAR:CALENDAR=FIVEDAY&amp;VAR:SYMBOL=769426&amp;VAR:INDEX=0"}</definedName>
    <definedName name="_25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250"}</definedName>
    <definedName name="_253__FDSAUDITLINK__" hidden="1">{"fdsup://Directions/FactSet Auditing Viewer?action=AUDIT_VALUE&amp;DB=129&amp;ID1=B58MYJ&amp;VALUEID=01001&amp;SDATE=2010&amp;PERIODTYPE=ANN_STD&amp;SCFT=3&amp;window=popup_no_bar&amp;width=385&amp;height=120&amp;START_MAXIMIZED=FALSE&amp;creator=factset&amp;display_string=Audit"}</definedName>
    <definedName name="_25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249"}</definedName>
    <definedName name="_254__FDSAUDITLINK__" hidden="1">{"fdsup://Directions/FactSet Auditing Viewer?action=AUDIT_VALUE&amp;DB=129&amp;ID1=B58MYJ&amp;VALUEID=01001&amp;SDATE=2009&amp;PERIODTYPE=ANN_STD&amp;SCFT=3&amp;window=popup_no_bar&amp;width=385&amp;height=120&amp;START_MAXIMIZED=FALSE&amp;creator=factset&amp;display_string=Audit"}</definedName>
    <definedName name="_25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248"}</definedName>
    <definedName name="_255__FDSAUDITLINK__" hidden="1">{"fdsup://directions/FAT Viewer?action=UPDATE&amp;creator=factset&amp;DYN_ARGS=TRUE&amp;DOC_NAME=FAT:FQL_AUDITING_CLIENT_TEMPLATE.FAT&amp;display_string=Audit&amp;VAR:KEY=YZAZOHSNGH&amp;VAR:QUERY=RkZfRU5UUlBSX1ZBTF9EQUlMWSg0MDc3OSwsLCxVU0QsJ0RJTCcp&amp;WINDOW=FIRST_POPUP&amp;HEIGHT=450&amp;WI","DTH=450&amp;START_MAXIMIZED=FALSE&amp;VAR:CALENDAR=FIVEDAY&amp;VAR:SYMBOL=769426&amp;VAR:INDEX=0"}</definedName>
    <definedName name="_25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247"}</definedName>
    <definedName name="_256__FDSAUDITLINK__" hidden="1">{"fdsup://directions/FAT Viewer?action=UPDATE&amp;creator=factset&amp;DYN_ARGS=TRUE&amp;DOC_NAME=FAT:FQL_AUDITING_CLIENT_TEMPLATE.FAT&amp;display_string=Audit&amp;VAR:KEY=CPCRGJOXSD&amp;VAR:QUERY=RkZfRU5UUlBSX1ZBTF9EQUlMWSg0MDc3OSwsLCxVU0QsJ0RJTCcp&amp;WINDOW=FIRST_POPUP&amp;HEIGHT=450&amp;WI","DTH=450&amp;START_MAXIMIZED=FALSE&amp;VAR:CALENDAR=FIVEDAY&amp;VAR:SYMBOL=B1J1MT&amp;VAR:INDEX=0"}</definedName>
    <definedName name="_25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246"}</definedName>
    <definedName name="_257__FDSAUDITLINK__" hidden="1">{"fdsup://directions/FAT Viewer?action=UPDATE&amp;creator=factset&amp;DYN_ARGS=TRUE&amp;DOC_NAME=FAT:FQL_AUDITING_CLIENT_TEMPLATE.FAT&amp;display_string=Audit&amp;VAR:KEY=EPKPEBABGZ&amp;VAR:QUERY=RkZfRU5UUlBSX1ZBTF9EQUlMWSg0MDc3OSwsLCxVU0QsJ0RJTCcp&amp;WINDOW=FIRST_POPUP&amp;HEIGHT=450&amp;WI","DTH=450&amp;START_MAXIMIZED=FALSE&amp;VAR:CALENDAR=FIVEDAY&amp;VAR:SYMBOL=B0D5V5&amp;VAR:INDEX=0"}</definedName>
    <definedName name="_25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245"}</definedName>
    <definedName name="_258__FDSAUDITLINK__" hidden="1">{"fdsup://directions/FAT Viewer?action=UPDATE&amp;creator=factset&amp;DYN_ARGS=TRUE&amp;DOC_NAME=FAT:FQL_AUDITING_CLIENT_TEMPLATE.FAT&amp;display_string=Audit&amp;VAR:KEY=QHQDUZKFCH&amp;VAR:QUERY=RkZfRU5UUlBSX1ZBTF9EQUlMWSg0MDc3OSwsLCxVU0QsJ0RJTCcp&amp;WINDOW=FIRST_POPUP&amp;HEIGHT=450&amp;WI","DTH=450&amp;START_MAXIMIZED=FALSE&amp;VAR:CALENDAR=FIVEDAY&amp;VAR:SYMBOL=B59F84&amp;VAR:INDEX=0"}</definedName>
    <definedName name="_25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244"}</definedName>
    <definedName name="_259__FDSAUDITLINK__" hidden="1">{"fdsup://directions/FAT Viewer?action=UPDATE&amp;creator=factset&amp;DYN_ARGS=TRUE&amp;DOC_NAME=FAT:FQL_AUDITING_CLIENT_TEMPLATE.FAT&amp;display_string=Audit&amp;VAR:KEY=OPGHWHAPUT&amp;VAR:QUERY=RkZfRU5UUlBSX1ZBTF9EQUlMWSg0MDc3OSwsLCxVU0QsJ0RJTCcp&amp;WINDOW=FIRST_POPUP&amp;HEIGHT=450&amp;WI","DTH=450&amp;START_MAXIMIZED=FALSE&amp;VAR:CALENDAR=FIVEDAY&amp;VAR:SYMBOL=B1H11J&amp;VAR:INDEX=0"}</definedName>
    <definedName name="_26__123Graph_ACHART_1" hidden="1">#REF!</definedName>
    <definedName name="_26__123Graph_ACHART_4" hidden="1">#REF!</definedName>
    <definedName name="_26__123Graph_AChart_6" hidden="1">#REF!</definedName>
    <definedName name="_26__123Graph_B_Chart_1A" hidden="1">#REF!</definedName>
    <definedName name="_26__123Graph_LBL_BCHART_12" hidden="1">#REF!</definedName>
    <definedName name="_26__123Graph_LBL_CCHART_19" hidden="1">#REF!</definedName>
    <definedName name="_26__123Graph_XCHART_8" hidden="1">#REF!</definedName>
    <definedName name="_26__FDSAUDITLINK__" localSheetId="0" hidden="1">{"fdsup://IBCentral/FAT Viewer?action=UPDATE&amp;creator=factset&amp;DOC_NAME=fat:reuters_qtrly_source_window.fat&amp;display_string=Audit&amp;DYN_ARGS=TRUE&amp;VAR:ID1=692737&amp;VAR:RCODE=FDSPFDSTKTOTAL&amp;VAR:SDATE=20100999&amp;VAR:FREQ=Quarterly&amp;VAR:RELITEM=RP&amp;VAR:CURRENCY=SGD&amp;VAR:CU","RRSOURCE=EXSHARE&amp;VAR:NATFREQ=QUARTERLY&amp;VAR:RFIELD=FINALIZED&amp;VAR:DB_TYPE=&amp;VAR:UNITS=M&amp;window=popup&amp;width=450&amp;height=300&amp;START_MAXIMIZED=FALSE"}</definedName>
    <definedName name="_26__FDSAUDITLINK__" hidden="1">{"fdsup://directions/FAT Viewer?action=UPDATE&amp;creator=factset&amp;DYN_ARGS=TRUE&amp;DOC_NAME=FAT:FQL_AUDITING_CLIENT_TEMPLATE.FAT&amp;display_string=Audit&amp;VAR:KEY=ONKBWDKHOB&amp;VAR:QUERY=RkZfRUJJVF9PUEVSX01HTihBTk4sMjAwOSwsLCxVU0Qp&amp;WINDOW=FIRST_POPUP&amp;HEIGHT=450&amp;WIDTH=450&amp;","START_MAXIMIZED=FALSE&amp;VAR:CALENDAR=FIVEDAY&amp;VAR:SYMBOL=B59Q6G&amp;VAR:INDEX=0"}</definedName>
    <definedName name="_26_0__123Graph_BCHAR" hidden="1">#REF!</definedName>
    <definedName name="_26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243"}</definedName>
    <definedName name="_260__FDSAUDITLINK__" hidden="1">{"fdsup://directions/FAT Viewer?action=UPDATE&amp;creator=factset&amp;DYN_ARGS=TRUE&amp;DOC_NAME=FAT:FQL_AUDITING_CLIENT_TEMPLATE.FAT&amp;display_string=Audit&amp;VAR:KEY=IRGRQDQTWB&amp;VAR:QUERY=RkZfRU5UUlBSX1ZBTF9EQUlMWSg0MDc3OSwsLCxVU0QsJ0RJTCcp&amp;WINDOW=FIRST_POPUP&amp;HEIGHT=450&amp;WI","DTH=450&amp;START_MAXIMIZED=FALSE&amp;VAR:CALENDAR=FIVEDAY&amp;VAR:SYMBOL=B1VZKH&amp;VAR:INDEX=0"}</definedName>
    <definedName name="_26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242"}</definedName>
    <definedName name="_261__FDSAUDITLINK__" hidden="1">{"fdsup://directions/FAT Viewer?action=UPDATE&amp;creator=factset&amp;DYN_ARGS=TRUE&amp;DOC_NAME=FAT:FQL_AUDITING_CLIENT_TEMPLATE.FAT&amp;display_string=Audit&amp;VAR:KEY=CLCRSDAPSX&amp;VAR:QUERY=RkZfRU5UUlBSX1ZBTF9EQUlMWSg0MDc3OSwsLCxVU0QsJ0RJTCcp&amp;WINDOW=FIRST_POPUP&amp;HEIGHT=450&amp;WI","DTH=450&amp;START_MAXIMIZED=FALSE&amp;VAR:CALENDAR=FIVEDAY&amp;VAR:SYMBOL=B5TWX8&amp;VAR:INDEX=0"}</definedName>
    <definedName name="_26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241"}</definedName>
    <definedName name="_262__FDSAUDITLINK__" hidden="1">{"fdsup://directions/FAT Viewer?action=UPDATE&amp;creator=factset&amp;DYN_ARGS=TRUE&amp;DOC_NAME=FAT:FQL_AUDITING_CLIENT_TEMPLATE.FAT&amp;display_string=Audit&amp;VAR:KEY=CLCRSDAPSX&amp;VAR:QUERY=RkZfRU5UUlBSX1ZBTF9EQUlMWSg0MDc3OSwsLCxVU0QsJ0RJTCcp&amp;WINDOW=FIRST_POPUP&amp;HEIGHT=450&amp;WI","DTH=450&amp;START_MAXIMIZED=FALSE&amp;VAR:CALENDAR=FIVEDAY&amp;VAR:SYMBOL=B5TWX8&amp;VAR:INDEX=0"}</definedName>
    <definedName name="_26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240"}</definedName>
    <definedName name="_263__FDSAUDITLINK__" hidden="1">{"fdsup://directions/FAT Viewer?action=UPDATE&amp;creator=factset&amp;DYN_ARGS=TRUE&amp;DOC_NAME=FAT:FQL_AUDITING_CLIENT_TEMPLATE.FAT&amp;display_string=Audit&amp;VAR:KEY=YLCVWFIZGL&amp;VAR:QUERY=RkZfRU5UUlBSX1ZBTF9EQUlMWSg0MDc3OSwsLCxVU0QsJ0RJTCcp&amp;WINDOW=FIRST_POPUP&amp;HEIGHT=450&amp;WI","DTH=450&amp;START_MAXIMIZED=FALSE&amp;VAR:CALENDAR=FIVEDAY&amp;VAR:SYMBOL=B58MYJ&amp;VAR:INDEX=0"}</definedName>
    <definedName name="_26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239"}</definedName>
    <definedName name="_264__FDSAUDITLINK__" hidden="1">{"fdsup://Directions/FactSet Auditing Viewer?action=AUDIT_VALUE&amp;DB=129&amp;ID1=B58MYJ&amp;VALUEID=05194&amp;SDATE=2010&amp;PERIODTYPE=ANN_STD&amp;SCFT=3&amp;window=popup_no_bar&amp;width=385&amp;height=120&amp;START_MAXIMIZED=FALSE&amp;creator=factset&amp;display_string=Audit"}</definedName>
    <definedName name="_26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238"}</definedName>
    <definedName name="_265__FDSAUDITLINK__" hidden="1">{"fdsup://directions/FAT Viewer?action=UPDATE&amp;creator=factset&amp;DYN_ARGS=TRUE&amp;DOC_NAME=FAT:FQL_AUDITING_CLIENT_TEMPLATE.FAT&amp;display_string=Audit&amp;VAR:KEY=IRGRQDQTWB&amp;VAR:QUERY=RkZfRU5UUlBSX1ZBTF9EQUlMWSg0MDc3OSwsLCxVU0QsJ0RJTCcp&amp;WINDOW=FIRST_POPUP&amp;HEIGHT=450&amp;WI","DTH=450&amp;START_MAXIMIZED=FALSE&amp;VAR:CALENDAR=FIVEDAY&amp;VAR:SYMBOL=B1VZKH&amp;VAR:INDEX=0"}</definedName>
    <definedName name="_26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237"}</definedName>
    <definedName name="_266__FDSAUDITLINK__" hidden="1">{"fdsup://directions/FAT Viewer?action=UPDATE&amp;creator=factset&amp;DYN_ARGS=TRUE&amp;DOC_NAME=FAT:FQL_AUDITING_CLIENT_TEMPLATE.FAT&amp;display_string=Audit&amp;VAR:KEY=EPKPEBABGZ&amp;VAR:QUERY=RkZfRU5UUlBSX1ZBTF9EQUlMWSg0MDc3OSwsLCxVU0QsJ0RJTCcp&amp;WINDOW=FIRST_POPUP&amp;HEIGHT=450&amp;WI","DTH=450&amp;START_MAXIMIZED=FALSE&amp;VAR:CALENDAR=FIVEDAY&amp;VAR:SYMBOL=B0D5V5&amp;VAR:INDEX=0"}</definedName>
    <definedName name="_26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236"}</definedName>
    <definedName name="_267__FDSAUDITLINK__" hidden="1">{"fdsup://directions/FAT Viewer?action=UPDATE&amp;creator=factset&amp;DYN_ARGS=TRUE&amp;DOC_NAME=FAT:FQL_AUDITING_CLIENT_TEMPLATE.FAT&amp;display_string=Audit&amp;VAR:KEY=CPCRGJOXSD&amp;VAR:QUERY=RkZfRU5UUlBSX1ZBTF9EQUlMWSg0MDc3OSwsLCxVU0QsJ0RJTCcp&amp;WINDOW=FIRST_POPUP&amp;HEIGHT=450&amp;WI","DTH=450&amp;START_MAXIMIZED=FALSE&amp;VAR:CALENDAR=FIVEDAY&amp;VAR:SYMBOL=B1J1MT&amp;VAR:INDEX=0"}</definedName>
    <definedName name="_26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235"}</definedName>
    <definedName name="_268__FDSAUDITLINK__" hidden="1">{"fdsup://directions/FAT Viewer?action=UPDATE&amp;creator=factset&amp;DYN_ARGS=TRUE&amp;DOC_NAME=FAT:FQL_AUDITING_CLIENT_TEMPLATE.FAT&amp;display_string=Audit&amp;VAR:KEY=YZAZOHSNGH&amp;VAR:QUERY=RkZfRU5UUlBSX1ZBTF9EQUlMWSg0MDc3OSwsLCxVU0QsJ0RJTCcp&amp;WINDOW=FIRST_POPUP&amp;HEIGHT=450&amp;WI","DTH=450&amp;START_MAXIMIZED=FALSE&amp;VAR:CALENDAR=FIVEDAY&amp;VAR:SYMBOL=769426&amp;VAR:INDEX=0"}</definedName>
    <definedName name="_26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234"}</definedName>
    <definedName name="_269__FDSAUDITLINK__" hidden="1">{"fdsup://Directions/FactSet Auditing Viewer?action=AUDIT_VALUE&amp;DB=129&amp;ID1=769426&amp;VALUEID=01001&amp;SDATE=2010&amp;PERIODTYPE=ANN_STD&amp;SCFT=3&amp;window=popup_no_bar&amp;width=385&amp;height=120&amp;START_MAXIMIZED=FALSE&amp;creator=factset&amp;display_string=Audit"}</definedName>
    <definedName name="_27__123Graph_B_Chart_1A" hidden="1">#REF!</definedName>
    <definedName name="_27__123Graph_BCHART_1" hidden="1">#REF!</definedName>
    <definedName name="_27__123Graph_BCHART_5" hidden="1">#REF!</definedName>
    <definedName name="_27__123Graph_C_Chart_1A" hidden="1">#REF!</definedName>
    <definedName name="_27__123Graph_LBL_BCHART_13" hidden="1">#REF!</definedName>
    <definedName name="_27__123Graph_XCHART_20" hidden="1">#REF!</definedName>
    <definedName name="_27__FDSAUDITLINK__" localSheetId="0" hidden="1">{"fdsup://IBCentral/FAT Viewer?action=UPDATE&amp;creator=factset&amp;DOC_NAME=fat:reuters_qtrly_source_window.fat&amp;display_string=Audit&amp;DYN_ARGS=TRUE&amp;VAR:ID1=692737&amp;VAR:RCODE=LMIN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27__FDSAUDITLINK__" hidden="1">{"fdsup://directions/FAT Viewer?action=UPDATE&amp;creator=factset&amp;DYN_ARGS=TRUE&amp;DOC_NAME=FAT:FQL_AUDITING_CLIENT_TEMPLATE.FAT&amp;display_string=Audit&amp;VAR:KEY=SROLUPEVCZ&amp;VAR:QUERY=RkZfRUJJVF9PUEVSX01HTihBTk4sMjAxMCk=&amp;WINDOW=FIRST_POPUP&amp;HEIGHT=450&amp;WIDTH=450&amp;START_MA","XIMIZED=FALSE&amp;VAR:CALENDAR=FIVEDAY&amp;VAR:SYMBOL=B59F84&amp;VAR:INDEX=0"}</definedName>
    <definedName name="_27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233"}</definedName>
    <definedName name="_270__FDSAUDITLINK__" hidden="1">{"fdsup://Directions/FactSet Auditing Viewer?action=AUDIT_VALUE&amp;DB=129&amp;ID1=769426&amp;VALUEID=01001&amp;SDATE=2009&amp;PERIODTYPE=ANN_STD&amp;SCFT=3&amp;window=popup_no_bar&amp;width=385&amp;height=120&amp;START_MAXIMIZED=FALSE&amp;creator=factset&amp;display_string=Audit"}</definedName>
    <definedName name="_27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232"}</definedName>
    <definedName name="_271__FDSAUDITLINK__" hidden="1">{"fdsup://Directions/FactSet Auditing Viewer?action=AUDIT_VALUE&amp;DB=129&amp;ID1=B1J1MT&amp;VALUEID=01001&amp;SDATE=2010&amp;PERIODTYPE=ANN_STD&amp;SCFT=3&amp;window=popup_no_bar&amp;width=385&amp;height=120&amp;START_MAXIMIZED=FALSE&amp;creator=factset&amp;display_string=Audit"}</definedName>
    <definedName name="_27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231"}</definedName>
    <definedName name="_272__FDSAUDITLINK__" hidden="1">{"fdsup://Directions/FactSet Auditing Viewer?action=AUDIT_VALUE&amp;DB=129&amp;ID1=B1J1MT&amp;VALUEID=01001&amp;SDATE=2009&amp;PERIODTYPE=ANN_STD&amp;SCFT=3&amp;window=popup_no_bar&amp;width=385&amp;height=120&amp;START_MAXIMIZED=FALSE&amp;creator=factset&amp;display_string=Audit"}</definedName>
    <definedName name="_27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230"}</definedName>
    <definedName name="_273__FDSAUDITLINK__" hidden="1">{"fdsup://Directions/FactSet Auditing Viewer?action=AUDIT_VALUE&amp;DB=129&amp;ID1=B0D5V5&amp;VALUEID=01001&amp;SDATE=2010&amp;PERIODTYPE=ANN_STD&amp;SCFT=3&amp;window=popup_no_bar&amp;width=385&amp;height=120&amp;START_MAXIMIZED=FALSE&amp;creator=factset&amp;display_string=Audit"}</definedName>
    <definedName name="_27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229"}</definedName>
    <definedName name="_274__FDSAUDITLINK__" hidden="1">{"fdsup://Directions/FactSet Auditing Viewer?action=AUDIT_VALUE&amp;DB=129&amp;ID1=B0D5V5&amp;VALUEID=01001&amp;SDATE=2009&amp;PERIODTYPE=ANN_STD&amp;SCFT=3&amp;window=popup_no_bar&amp;width=385&amp;height=120&amp;START_MAXIMIZED=FALSE&amp;creator=factset&amp;display_string=Audit"}</definedName>
    <definedName name="_27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228"}</definedName>
    <definedName name="_275__FDSAUDITLINK__" hidden="1">{"fdsup://Directions/FactSet Auditing Viewer?action=AUDIT_VALUE&amp;DB=129&amp;ID1=B59F84&amp;VALUEID=01001&amp;SDATE=2010&amp;PERIODTYPE=ANN_STD&amp;SCFT=3&amp;window=popup_no_bar&amp;width=385&amp;height=120&amp;START_MAXIMIZED=FALSE&amp;creator=factset&amp;display_string=Audit"}</definedName>
    <definedName name="_27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227"}</definedName>
    <definedName name="_276__FDSAUDITLINK__" hidden="1">{"fdsup://Directions/FactSet Auditing Viewer?action=AUDIT_VALUE&amp;DB=129&amp;ID1=B59F84&amp;VALUEID=01001&amp;SDATE=2009&amp;PERIODTYPE=ANN_STD&amp;SCFT=3&amp;window=popup_no_bar&amp;width=385&amp;height=120&amp;START_MAXIMIZED=FALSE&amp;creator=factset&amp;display_string=Audit"}</definedName>
    <definedName name="_27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226"}</definedName>
    <definedName name="_277__FDSAUDITLINK__" hidden="1">{"fdsup://Directions/FactSet Auditing Viewer?action=AUDIT_VALUE&amp;DB=129&amp;ID1=B1H11J&amp;VALUEID=01001&amp;SDATE=2010&amp;PERIODTYPE=ANN_STD&amp;SCFT=3&amp;window=popup_no_bar&amp;width=385&amp;height=120&amp;START_MAXIMIZED=FALSE&amp;creator=factset&amp;display_string=Audit"}</definedName>
    <definedName name="_27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225"}</definedName>
    <definedName name="_278__FDSAUDITLINK__" hidden="1">{"fdsup://Directions/FactSet Auditing Viewer?action=AUDIT_VALUE&amp;DB=129&amp;ID1=B1H11J&amp;VALUEID=01001&amp;SDATE=2009&amp;PERIODTYPE=ANN_STD&amp;SCFT=3&amp;window=popup_no_bar&amp;width=385&amp;height=120&amp;START_MAXIMIZED=FALSE&amp;creator=factset&amp;display_string=Audit"}</definedName>
    <definedName name="_27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224"}</definedName>
    <definedName name="_279__FDSAUDITLINK__" hidden="1">{"fdsup://Directions/FactSet Auditing Viewer?action=AUDIT_VALUE&amp;DB=129&amp;ID1=769426&amp;VALUEID=05194&amp;SDATE=2010&amp;PERIODTYPE=ANN_STD&amp;SCFT=3&amp;window=popup_no_bar&amp;width=385&amp;height=120&amp;START_MAXIMIZED=FALSE&amp;creator=factset&amp;display_string=Audit"}</definedName>
    <definedName name="_28__123Graph_BCHART_1" hidden="1">#REF!</definedName>
    <definedName name="_28__123Graph_BCHART_2" hidden="1">#REF!</definedName>
    <definedName name="_28__123Graph_C_Chart_1A" hidden="1">#REF!</definedName>
    <definedName name="_28__123Graph_CCHART_19" hidden="1">#REF!</definedName>
    <definedName name="_28__123Graph_D_Chart_1A" hidden="1">#REF!</definedName>
    <definedName name="_28__123Graph_LBL_BCHART_14" hidden="1">#REF!</definedName>
    <definedName name="_28__FDSAUDITLINK__" localSheetId="0" hidden="1">{"fdsup://IBCentral/FAT Viewer?action=UPDATE&amp;creator=factset&amp;DOC_NAME=fat:reuters_qtrly_source_window.fat&amp;display_string=Audit&amp;DYN_ARGS=TRUE&amp;VAR:ID1=692737&amp;VAR:RCODE=LMIN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28__FDSAUDITLINK__" hidden="1">{"fdsup://directions/FAT Viewer?action=UPDATE&amp;creator=factset&amp;DYN_ARGS=TRUE&amp;DOC_NAME=FAT:FQL_AUDITING_CLIENT_TEMPLATE.FAT&amp;display_string=Audit&amp;VAR:KEY=MBCRSTSJGD&amp;VAR:QUERY=RkZfRUJJVF9PUEVSX01HTihBTk4sMjAwOSwsLCxVU0Qp&amp;WINDOW=FIRST_POPUP&amp;HEIGHT=450&amp;WIDTH=450&amp;","START_MAXIMIZED=FALSE&amp;VAR:CALENDAR=FIVEDAY&amp;VAR:SYMBOL=B59F84&amp;VAR:INDEX=0"}</definedName>
    <definedName name="_28_0__123Graph_CCHAR" hidden="1">#REF!</definedName>
    <definedName name="_28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223"}</definedName>
    <definedName name="_280__FDSAUDITLINK__" hidden="1">{"fdsup://Directions/FactSet Auditing Viewer?action=AUDIT_VALUE&amp;DB=129&amp;ID1=B1J1MT&amp;VALUEID=05194&amp;SDATE=2010&amp;PERIODTYPE=ANN_STD&amp;SCFT=3&amp;window=popup_no_bar&amp;width=385&amp;height=120&amp;START_MAXIMIZED=FALSE&amp;creator=factset&amp;display_string=Audit"}</definedName>
    <definedName name="_28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222"}</definedName>
    <definedName name="_281__FDSAUDITLINK__" hidden="1">{"fdsup://Directions/FactSet Auditing Viewer?action=AUDIT_VALUE&amp;DB=129&amp;ID1=B0D5V5&amp;VALUEID=05194&amp;SDATE=2010&amp;PERIODTYPE=ANN_STD&amp;SCFT=3&amp;window=popup_no_bar&amp;width=385&amp;height=120&amp;START_MAXIMIZED=FALSE&amp;creator=factset&amp;display_string=Audit"}</definedName>
    <definedName name="_28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221"}</definedName>
    <definedName name="_282__FDSAUDITLINK__" hidden="1">{"fdsup://Directions/FactSet Auditing Viewer?action=AUDIT_VALUE&amp;DB=129&amp;ID1=B59F84&amp;VALUEID=05194&amp;SDATE=2010&amp;PERIODTYPE=ANN_STD&amp;SCFT=3&amp;window=popup_no_bar&amp;width=385&amp;height=120&amp;START_MAXIMIZED=FALSE&amp;creator=factset&amp;display_string=Audit"}</definedName>
    <definedName name="_28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220"}</definedName>
    <definedName name="_283__FDSAUDITLINK__" hidden="1">{"fdsup://Directions/FactSet Auditing Viewer?action=AUDIT_VALUE&amp;DB=129&amp;ID1=B1H11J&amp;VALUEID=05194&amp;SDATE=2010&amp;PERIODTYPE=ANN_STD&amp;SCFT=3&amp;window=popup_no_bar&amp;width=385&amp;height=120&amp;START_MAXIMIZED=FALSE&amp;creator=factset&amp;display_string=Audit"}</definedName>
    <definedName name="_28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219"}</definedName>
    <definedName name="_284__FDSAUDITLINK__" hidden="1">{"fdsup://directions/FAT Viewer?action=UPDATE&amp;creator=factset&amp;DYN_ARGS=TRUE&amp;DOC_NAME=FAT:FQL_AUDITING_CLIENT_TEMPLATE.FAT&amp;display_string=Audit&amp;VAR:KEY=NQNOTYJINY&amp;VAR:QUERY=RkZfRU5UUlBSX1ZBTF9FQklUX09QRVIoQU5OLDIwMDksLCwsVVNEKQ==&amp;WINDOW=FIRST_POPUP&amp;HEIGHT=45","0&amp;WIDTH=450&amp;START_MAXIMIZED=FALSE&amp;VAR:CALENDAR=FIVEDAY&amp;VAR:SYMBOL=B1VP94&amp;VAR:INDEX=0"}</definedName>
    <definedName name="_28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218"}</definedName>
    <definedName name="_285__FDSAUDITLINK__" hidden="1">{"fdsup://directions/FAT Viewer?action=UPDATE&amp;creator=factset&amp;DYN_ARGS=TRUE&amp;DOC_NAME=FAT:FQL_AUDITING_CLIENT_TEMPLATE.FAT&amp;display_string=Audit&amp;VAR:KEY=DKBUNORYHC&amp;VAR:QUERY=RkZfRU5UUlBSX1ZBTF9FQklUX09QRVIoQU5OLDIwMTAsLCwsVVNEKQ==&amp;WINDOW=FIRST_POPUP&amp;HEIGHT=45","0&amp;WIDTH=450&amp;START_MAXIMIZED=FALSE&amp;VAR:CALENDAR=FIVEDAY&amp;VAR:SYMBOL=758670&amp;VAR:INDEX=0"}</definedName>
    <definedName name="_28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217"}</definedName>
    <definedName name="_286__FDSAUDITLINK__" hidden="1">{"fdsup://directions/FAT Viewer?action=UPDATE&amp;creator=factset&amp;DYN_ARGS=TRUE&amp;DOC_NAME=FAT:FQL_AUDITING_CLIENT_TEMPLATE.FAT&amp;display_string=Audit&amp;VAR:KEY=JONQNEHWBA&amp;VAR:QUERY=RkZfRU5UUlBSX1ZBTF9FQklUX09QRVIoQU5OLDIwMDksLCwsVVNEKQ==&amp;WINDOW=FIRST_POPUP&amp;HEIGHT=45","0&amp;WIDTH=450&amp;START_MAXIMIZED=FALSE&amp;VAR:CALENDAR=FIVEDAY&amp;VAR:SYMBOL=758670&amp;VAR:INDEX=0"}</definedName>
    <definedName name="_28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216"}</definedName>
    <definedName name="_287__FDSAUDITLINK__" hidden="1">{"fdsup://directions/FAT Viewer?action=UPDATE&amp;creator=factset&amp;DYN_ARGS=TRUE&amp;DOC_NAME=FAT:FQL_AUDITING_CLIENT_TEMPLATE.FAT&amp;display_string=Audit&amp;VAR:KEY=VEFKBKTWDM&amp;VAR:QUERY=RkZfRU5UUlBSX1ZBTF9FQklUX09QRVIoQU5OLDIwMTAsLCwsVVNEKQ==&amp;WINDOW=FIRST_POPUP&amp;HEIGHT=45","0&amp;WIDTH=450&amp;START_MAXIMIZED=FALSE&amp;VAR:CALENDAR=FIVEDAY&amp;VAR:SYMBOL=568104&amp;VAR:INDEX=0"}</definedName>
    <definedName name="_28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215"}</definedName>
    <definedName name="_288__FDSAUDITLINK__" hidden="1">{"fdsup://directions/FAT Viewer?action=UPDATE&amp;creator=factset&amp;DYN_ARGS=TRUE&amp;DOC_NAME=FAT:FQL_AUDITING_CLIENT_TEMPLATE.FAT&amp;display_string=Audit&amp;VAR:KEY=RMZAZWBWVY&amp;VAR:QUERY=RkZfRU5UUlBSX1ZBTF9FQklUX09QRVIoQU5OLDIwMDksLCwsVVNEKQ==&amp;WINDOW=FIRST_POPUP&amp;HEIGHT=45","0&amp;WIDTH=450&amp;START_MAXIMIZED=FALSE&amp;VAR:CALENDAR=FIVEDAY&amp;VAR:SYMBOL=568104&amp;VAR:INDEX=0"}</definedName>
    <definedName name="_28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214"}</definedName>
    <definedName name="_289__FDSAUDITLINK__" hidden="1">{"fdsup://directions/FAT Viewer?action=UPDATE&amp;creator=factset&amp;DYN_ARGS=TRUE&amp;DOC_NAME=FAT:FQL_AUDITING_CLIENT_TEMPLATE.FAT&amp;display_string=Audit&amp;VAR:KEY=PQRIRGFETK&amp;VAR:QUERY=RkZfRU5UUlBSX1ZBTF9FQklUX09QRVIoQU5OLDIwMTAsLCwsVVNEKQ==&amp;WINDOW=FIRST_POPUP&amp;HEIGHT=45","0&amp;WIDTH=450&amp;START_MAXIMIZED=FALSE&amp;VAR:CALENDAR=FIVEDAY&amp;VAR:SYMBOL=B1BFM5&amp;VAR:INDEX=0"}</definedName>
    <definedName name="_29__123Graph_A_Chart_1A" hidden="1">#REF!</definedName>
    <definedName name="_29__123Graph_D_Chart_1A" hidden="1">#REF!</definedName>
    <definedName name="_29__123Graph_E_Chart_1A" hidden="1">#REF!</definedName>
    <definedName name="_29__123Graph_LBL_CCHART_11" hidden="1">#REF!</definedName>
    <definedName name="_29__FDSAUDITLINK__" localSheetId="0" hidden="1">{"fdsup://IBCentral/FAT Viewer?action=UPDATE&amp;creator=factset&amp;DOC_NAME=fat:reuters_qtrly_source_window.fat&amp;display_string=Audit&amp;DYN_ARGS=TRUE&amp;VAR:ID1=692737&amp;VAR:RCODE=SCSI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29__FDSAUDITLINK__" hidden="1">{"fdsup://directions/FAT Viewer?action=UPDATE&amp;creator=factset&amp;DYN_ARGS=TRUE&amp;DOC_NAME=FAT:FQL_AUDITING_CLIENT_TEMPLATE.FAT&amp;display_string=Audit&amp;VAR:KEY=UPSNCHOTUL&amp;VAR:QUERY=RkZfRUJJVF9PUEVSX01HTihBTk4sMjAxMCk=&amp;WINDOW=FIRST_POPUP&amp;HEIGHT=450&amp;WIDTH=450&amp;START_MA","XIMIZED=FALSE&amp;VAR:CALENDAR=FIVEDAY&amp;VAR:SYMBOL=B5B8GW&amp;VAR:INDEX=0"}</definedName>
    <definedName name="_29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213"}</definedName>
    <definedName name="_290__FDSAUDITLINK__" hidden="1">{"fdsup://directions/FAT Viewer?action=UPDATE&amp;creator=factset&amp;DYN_ARGS=TRUE&amp;DOC_NAME=FAT:FQL_AUDITING_CLIENT_TEMPLATE.FAT&amp;display_string=Audit&amp;VAR:KEY=DCNIVGNOPG&amp;VAR:QUERY=RkZfRU5UUlBSX1ZBTF9FQklUX09QRVIoQU5OLDIwMDksLCwsVVNEKQ==&amp;WINDOW=FIRST_POPUP&amp;HEIGHT=45","0&amp;WIDTH=450&amp;START_MAXIMIZED=FALSE&amp;VAR:CALENDAR=FIVEDAY&amp;VAR:SYMBOL=B1BFM5&amp;VAR:INDEX=0"}</definedName>
    <definedName name="_29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212"}</definedName>
    <definedName name="_291__FDSAUDITLINK__" hidden="1">{"fdsup://directions/FAT Viewer?action=UPDATE&amp;creator=factset&amp;DYN_ARGS=TRUE&amp;DOC_NAME=FAT:FQL_AUDITING_CLIENT_TEMPLATE.FAT&amp;display_string=Audit&amp;VAR:KEY=HWVERUNUVI&amp;VAR:QUERY=RkZfRU5UUlBSX1ZBTF9FQklUX09QRVIoQU5OLDIwMTAsLCwsVVNEKQ==&amp;WINDOW=FIRST_POPUP&amp;HEIGHT=45","0&amp;WIDTH=450&amp;START_MAXIMIZED=FALSE&amp;VAR:CALENDAR=FIVEDAY&amp;VAR:SYMBOL=580813&amp;VAR:INDEX=0"}</definedName>
    <definedName name="_29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211"}</definedName>
    <definedName name="_292__FDSAUDITLINK__" hidden="1">{"fdsup://directions/FAT Viewer?action=UPDATE&amp;creator=factset&amp;DYN_ARGS=TRUE&amp;DOC_NAME=FAT:FQL_AUDITING_CLIENT_TEMPLATE.FAT&amp;display_string=Audit&amp;VAR:KEY=HSFYHCFEDS&amp;VAR:QUERY=RkZfRU5UUlBSX1ZBTF9FQklUX09QRVIoQU5OLDIwMDksLCwsVVNEKQ==&amp;WINDOW=FIRST_POPUP&amp;HEIGHT=45","0&amp;WIDTH=450&amp;START_MAXIMIZED=FALSE&amp;VAR:CALENDAR=FIVEDAY&amp;VAR:SYMBOL=580813&amp;VAR:INDEX=0"}</definedName>
    <definedName name="_29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210"}</definedName>
    <definedName name="_293__FDSAUDITLINK__" hidden="1">{"fdsup://directions/FAT Viewer?action=UPDATE&amp;creator=factset&amp;DYN_ARGS=TRUE&amp;DOC_NAME=FAT:FQL_AUDITING_CLIENT_TEMPLATE.FAT&amp;display_string=Audit&amp;VAR:KEY=JENSZGNQXG&amp;VAR:QUERY=RkZfRU5UUlBSX1ZBTF9FQklUX09QRVIoQU5OLDIwMTAsLCwsVVNEKQ==&amp;WINDOW=FIRST_POPUP&amp;HEIGHT=45","0&amp;WIDTH=450&amp;START_MAXIMIZED=FALSE&amp;VAR:CALENDAR=FIVEDAY&amp;VAR:SYMBOL=B0XP0T&amp;VAR:INDEX=0"}</definedName>
    <definedName name="_29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209"}</definedName>
    <definedName name="_294__FDSAUDITLINK__" hidden="1">{"fdsup://directions/FAT Viewer?action=UPDATE&amp;creator=factset&amp;DYN_ARGS=TRUE&amp;DOC_NAME=FAT:FQL_AUDITING_CLIENT_TEMPLATE.FAT&amp;display_string=Audit&amp;VAR:KEY=FQDWDMRGNY&amp;VAR:QUERY=RkZfRU5UUlBSX1ZBTF9FQklUX09QRVIoQU5OLDIwMDksLCwsVVNEKQ==&amp;WINDOW=FIRST_POPUP&amp;HEIGHT=45","0&amp;WIDTH=450&amp;START_MAXIMIZED=FALSE&amp;VAR:CALENDAR=FIVEDAY&amp;VAR:SYMBOL=B0XP0T&amp;VAR:INDEX=0"}</definedName>
    <definedName name="_29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208"}</definedName>
    <definedName name="_295__FDSAUDITLINK__" hidden="1">{"fdsup://directions/FAT Viewer?action=UPDATE&amp;creator=factset&amp;DYN_ARGS=TRUE&amp;DOC_NAME=FAT:FQL_AUDITING_CLIENT_TEMPLATE.FAT&amp;display_string=Audit&amp;VAR:KEY=NIPORMFOXY&amp;VAR:QUERY=RkZfRU5UUlBSX1ZBTF9FQklUX09QRVIoQU5OLDIwMTAsLCwsVVNEKQ==&amp;WINDOW=FIRST_POPUP&amp;HEIGHT=45","0&amp;WIDTH=450&amp;START_MAXIMIZED=FALSE&amp;VAR:CALENDAR=FIVEDAY&amp;VAR:SYMBOL=318094&amp;VAR:INDEX=0"}</definedName>
    <definedName name="_29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207"}</definedName>
    <definedName name="_296__FDSAUDITLINK__" hidden="1">{"fdsup://directions/FAT Viewer?action=UPDATE&amp;creator=factset&amp;DYN_ARGS=TRUE&amp;DOC_NAME=FAT:FQL_AUDITING_CLIENT_TEMPLATE.FAT&amp;display_string=Audit&amp;VAR:KEY=FYRGDQPARS&amp;VAR:QUERY=RkZfRU5UUlBSX1ZBTF9FQklUX09QRVIoQU5OLDIwMDksLCwsVVNEKQ==&amp;WINDOW=FIRST_POPUP&amp;HEIGHT=45","0&amp;WIDTH=450&amp;START_MAXIMIZED=FALSE&amp;VAR:CALENDAR=FIVEDAY&amp;VAR:SYMBOL=318094&amp;VAR:INDEX=0"}</definedName>
    <definedName name="_29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206"}</definedName>
    <definedName name="_297__FDSAUDITLINK__" hidden="1">{"fdsup://directions/FAT Viewer?action=UPDATE&amp;creator=factset&amp;DYN_ARGS=TRUE&amp;DOC_NAME=FAT:FQL_AUDITING_CLIENT_TEMPLATE.FAT&amp;display_string=Audit&amp;VAR:KEY=XQBGDWNYPO&amp;VAR:QUERY=RkZfRU5UUlBSX1ZBTF9FQklUX09QRVIoQU5OLDIwMTAsLCwsVVNEKQ==&amp;WINDOW=FIRST_POPUP&amp;HEIGHT=45","0&amp;WIDTH=450&amp;START_MAXIMIZED=FALSE&amp;VAR:CALENDAR=FIVEDAY&amp;VAR:SYMBOL=B01FLL&amp;VAR:INDEX=0"}</definedName>
    <definedName name="_29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205"}</definedName>
    <definedName name="_298__FDSAUDITLINK__" hidden="1">{"fdsup://directions/FAT Viewer?action=UPDATE&amp;creator=factset&amp;DYN_ARGS=TRUE&amp;DOC_NAME=FAT:FQL_AUDITING_CLIENT_TEMPLATE.FAT&amp;display_string=Audit&amp;VAR:KEY=VQVQZKXWRC&amp;VAR:QUERY=RkZfRU5UUlBSX1ZBTF9FQklUX09QRVIoQU5OLDIwMDksLCwsVVNEKQ==&amp;WINDOW=FIRST_POPUP&amp;HEIGHT=45","0&amp;WIDTH=450&amp;START_MAXIMIZED=FALSE&amp;VAR:CALENDAR=FIVEDAY&amp;VAR:SYMBOL=B01FLL&amp;VAR:INDEX=0"}</definedName>
    <definedName name="_29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204"}</definedName>
    <definedName name="_299__FDSAUDITLINK__" hidden="1">{"fdsup://directions/FAT Viewer?action=UPDATE&amp;creator=factset&amp;DYN_ARGS=TRUE&amp;DOC_NAME=FAT:FQL_AUDITING_CLIENT_TEMPLATE.FAT&amp;display_string=Audit&amp;VAR:KEY=HIFARUDYBG&amp;VAR:QUERY=RkZfRU5UUlBSX1ZBTF9FQklUX09QRVIoQU5OLDIwMTAsLCwsVVNEKQ==&amp;WINDOW=FIRST_POPUP&amp;HEIGHT=45","0&amp;WIDTH=450&amp;START_MAXIMIZED=FALSE&amp;VAR:CALENDAR=FIVEDAY&amp;VAR:SYMBOL=417798&amp;VAR:INDEX=0"}</definedName>
    <definedName name="_2a1_" hidden="1">#REF!</definedName>
    <definedName name="_2A1001_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_2A1001_" hidden="1">{#N/A,#N/A,FALSE,"DIR-REP";#N/A,#N/A,FALSE,"AUD-REPORT";#N/A,#N/A,FALSE,"P7L&amp;BS";#N/A,#N/A,FALSE,"NOTES";#N/A,#N/A,FALSE,"FA";#N/A,#N/A,FALSE,"NOTES (2)";#N/A,#N/A,FALSE,"Schedule  IV";#N/A,#N/A,FALSE,"Schedule V"}</definedName>
    <definedName name="_3__123Graph_ACHART_1" hidden="1">#REF!</definedName>
    <definedName name="_3__123Graph_ACHART_14" hidden="1">#REF!</definedName>
    <definedName name="_3__123Graph_AChart_2" hidden="1">#REF!</definedName>
    <definedName name="_3__123Graph_ACHART_3" hidden="1">#REF!</definedName>
    <definedName name="_3__123Graph_ACHART_31" hidden="1">#REF!</definedName>
    <definedName name="_3__123Graph_ACHART_4" hidden="1">#REF!</definedName>
    <definedName name="_3__123Graph_XLIQUIDS" hidden="1">#REF!</definedName>
    <definedName name="_3__123Graph_XTEILM_RKTE2" hidden="1">#REF!</definedName>
    <definedName name="_3__FDSAUDITLINK__" localSheetId="0" hidden="1">{"fdsup://Directions/FactSet Auditing Viewer?action=AUDIT_VALUE&amp;DB=129&amp;ID1=692737&amp;VALUEID=04601&amp;SDATE=2007&amp;PERIODTYPE=ANN_STD&amp;window=popup_no_bar&amp;width=385&amp;height=120&amp;START_MAXIMIZED=FALSE&amp;creator=factset&amp;display_string=Audit"}</definedName>
    <definedName name="_3__FDSAUDITLINK__" hidden="1">{"fdsup://IBCentral/FAT Viewer?action=UPDATE&amp;creator=factset&amp;DOC_NAME=fat:reuters_annual_source_window.fat&amp;display_string=Audit&amp;DYN_ARGS=TRUE&amp;VAR:ID1=B450Z4&amp;VAR:RCODE=FIBCEBIT&amp;VAR:SDATE=0&amp;VAR:FREQ=Y&amp;VAR:RELITEM=RP&amp;VAR:CURRENCY=LOCAL&amp;VAR:CURRSOURCE=EXSHARE&amp;V","AR:NATFREQ=ANNUAL&amp;VAR:RFIELD=FINALIZED&amp;VAR:DB_TYPE=NR&amp;VAR:UNITS=M&amp;window=popup&amp;width=450&amp;height=300&amp;START_MAXIMIZED=FALSE"}</definedName>
    <definedName name="_30__123Graph_AChart_1" hidden="1">#REF!</definedName>
    <definedName name="_30__123Graph_CCHART_1" hidden="1">#REF!</definedName>
    <definedName name="_30__123Graph_CCHART_2" hidden="1">#REF!</definedName>
    <definedName name="_30__123Graph_E_Chart_1A" hidden="1">#REF!</definedName>
    <definedName name="_30__123Graph_F_Chart_1A" hidden="1">#REF!</definedName>
    <definedName name="_30__123Graph_LBL_CCHART_12" hidden="1">#REF!</definedName>
    <definedName name="_30__FDSAUDITLINK__" localSheetId="0" hidden="1">{"fdsup://IBCentral/FAT Viewer?action=UPDATE&amp;creator=factset&amp;DOC_NAME=fat:reuters_qtrly_source_window.fat&amp;display_string=Audit&amp;DYN_ARGS=TRUE&amp;VAR:ID1=692737&amp;VAR:RCODE=SCSI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30__FDSAUDITLINK__" hidden="1">{"fdsup://directions/FAT Viewer?action=UPDATE&amp;creator=factset&amp;DYN_ARGS=TRUE&amp;DOC_NAME=FAT:FQL_AUDITING_CLIENT_TEMPLATE.FAT&amp;display_string=Audit&amp;VAR:KEY=OTSXSJCJUX&amp;VAR:QUERY=RkZfRUJJVF9PUEVSX01HTihBTk4sMjAwOSwsLCxVU0Qp&amp;WINDOW=FIRST_POPUP&amp;HEIGHT=450&amp;WIDTH=450&amp;","START_MAXIMIZED=FALSE&amp;VAR:CALENDAR=FIVEDAY&amp;VAR:SYMBOL=B5B8GW&amp;VAR:INDEX=0"}</definedName>
    <definedName name="_30_0__123Graph_LBL_ACHAR" hidden="1">#REF!</definedName>
    <definedName name="_30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203"}</definedName>
    <definedName name="_300__FDSAUDITLINK__" hidden="1">{"fdsup://directions/FAT Viewer?action=UPDATE&amp;creator=factset&amp;DYN_ARGS=TRUE&amp;DOC_NAME=FAT:FQL_AUDITING_CLIENT_TEMPLATE.FAT&amp;display_string=Audit&amp;VAR:KEY=DKTQHAZSBU&amp;VAR:QUERY=RkZfRU5UUlBSX1ZBTF9FQklUX09QRVIoQU5OLDIwMDksLCwsVVNEKQ==&amp;WINDOW=FIRST_POPUP&amp;HEIGHT=45","0&amp;WIDTH=450&amp;START_MAXIMIZED=FALSE&amp;VAR:CALENDAR=FIVEDAY&amp;VAR:SYMBOL=417798&amp;VAR:INDEX=0"}</definedName>
    <definedName name="_30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202"}</definedName>
    <definedName name="_301__FDSAUDITLINK__" hidden="1">{"fdsup://directions/FAT Viewer?action=UPDATE&amp;creator=factset&amp;DYN_ARGS=TRUE&amp;DOC_NAME=FAT:FQL_AUDITING_CLIENT_TEMPLATE.FAT&amp;display_string=Audit&amp;VAR:KEY=RCZYTGBORE&amp;VAR:QUERY=RkZfRU5UUlBSX1ZBTF9FQklUX09QRVIoQU5OLDIwMTAsLCwsVVNEKQ==&amp;WINDOW=FIRST_POPUP&amp;HEIGHT=45","0&amp;WIDTH=450&amp;START_MAXIMIZED=FALSE&amp;VAR:CALENDAR=FIVEDAY&amp;VAR:SYMBOL=490014&amp;VAR:INDEX=0"}</definedName>
    <definedName name="_30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201"}</definedName>
    <definedName name="_302__FDSAUDITLINK__" hidden="1">{"fdsup://directions/FAT Viewer?action=UPDATE&amp;creator=factset&amp;DYN_ARGS=TRUE&amp;DOC_NAME=FAT:FQL_AUDITING_CLIENT_TEMPLATE.FAT&amp;display_string=Audit&amp;VAR:KEY=LWRYZEBYHS&amp;VAR:QUERY=RkZfRU5UUlBSX1ZBTF9FQklUX09QRVIoQU5OLDIwMDksLCwsVVNEKQ==&amp;WINDOW=FIRST_POPUP&amp;HEIGHT=45","0&amp;WIDTH=450&amp;START_MAXIMIZED=FALSE&amp;VAR:CALENDAR=FIVEDAY&amp;VAR:SYMBOL=490014&amp;VAR:INDEX=0"}</definedName>
    <definedName name="_30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200"}</definedName>
    <definedName name="_303__FDSAUDITLINK__" hidden="1">{"fdsup://directions/FAT Viewer?action=UPDATE&amp;creator=factset&amp;DYN_ARGS=TRUE&amp;DOC_NAME=FAT:FQL_AUDITING_CLIENT_TEMPLATE.FAT&amp;display_string=Audit&amp;VAR:KEY=XUVKRKBUVM&amp;VAR:QUERY=RkZfUEUoQU5OLDIwMTAsLCwsVVNEKQ==&amp;WINDOW=FIRST_POPUP&amp;HEIGHT=450&amp;WIDTH=450&amp;START_MAXIMI","ZED=FALSE&amp;VAR:CALENDAR=FIVEDAY&amp;VAR:SYMBOL=464330&amp;VAR:INDEX=0"}</definedName>
    <definedName name="_30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199"}</definedName>
    <definedName name="_304__FDSAUDITLINK__" hidden="1">{"fdsup://directions/FAT Viewer?action=UPDATE&amp;creator=factset&amp;DYN_ARGS=TRUE&amp;DOC_NAME=FAT:FQL_AUDITING_CLIENT_TEMPLATE.FAT&amp;display_string=Audit&amp;VAR:KEY=LOVWJSJIPG&amp;VAR:QUERY=RkZfUEUoQU5OLDIwMDksLCwsVVNEKQ==&amp;WINDOW=FIRST_POPUP&amp;HEIGHT=450&amp;WIDTH=450&amp;START_MAXIMI","ZED=FALSE&amp;VAR:CALENDAR=FIVEDAY&amp;VAR:SYMBOL=464330&amp;VAR:INDEX=0"}</definedName>
    <definedName name="_30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198"}</definedName>
    <definedName name="_305__FDSAUDITLINK__" hidden="1">{"fdsup://directions/FAT Viewer?action=UPDATE&amp;creator=factset&amp;DYN_ARGS=TRUE&amp;DOC_NAME=FAT:FQL_AUDITING_CLIENT_TEMPLATE.FAT&amp;display_string=Audit&amp;VAR:KEY=JGPGTSLYZO&amp;VAR:QUERY=RkZfUEUoQU5OLDIwMTAsLCwsVVNEKQ==&amp;WINDOW=FIRST_POPUP&amp;HEIGHT=450&amp;WIDTH=450&amp;START_MAXIMI","ZED=FALSE&amp;VAR:CALENDAR=FIVEDAY&amp;VAR:SYMBOL=561112&amp;VAR:INDEX=0"}</definedName>
    <definedName name="_30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197"}</definedName>
    <definedName name="_306__FDSAUDITLINK__" hidden="1">{"fdsup://directions/FAT Viewer?action=UPDATE&amp;creator=factset&amp;DYN_ARGS=TRUE&amp;DOC_NAME=FAT:FQL_AUDITING_CLIENT_TEMPLATE.FAT&amp;display_string=Audit&amp;VAR:KEY=NEHWBGRIVG&amp;VAR:QUERY=RkZfUEUoQU5OLDIwMDksLCwsVVNEKQ==&amp;WINDOW=FIRST_POPUP&amp;HEIGHT=450&amp;WIDTH=450&amp;START_MAXIMI","ZED=FALSE&amp;VAR:CALENDAR=FIVEDAY&amp;VAR:SYMBOL=561112&amp;VAR:INDEX=0"}</definedName>
    <definedName name="_30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196"}</definedName>
    <definedName name="_307__FDSAUDITLINK__" hidden="1">{"fdsup://directions/FAT Viewer?action=UPDATE&amp;creator=factset&amp;DYN_ARGS=TRUE&amp;DOC_NAME=FAT:FQL_AUDITING_CLIENT_TEMPLATE.FAT&amp;display_string=Audit&amp;VAR:KEY=HAVYDYNAJE&amp;VAR:QUERY=RkZfUEUoQU5OLDIwMTAsLCwsVVNEKQ==&amp;WINDOW=FIRST_POPUP&amp;HEIGHT=450&amp;WIDTH=450&amp;START_MAXIMI","ZED=FALSE&amp;VAR:CALENDAR=FIVEDAY&amp;VAR:SYMBOL=B1VP94&amp;VAR:INDEX=0"}</definedName>
    <definedName name="_30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195"}</definedName>
    <definedName name="_308__FDSAUDITLINK__" hidden="1">{"fdsup://directions/FAT Viewer?action=UPDATE&amp;creator=factset&amp;DYN_ARGS=TRUE&amp;DOC_NAME=FAT:FQL_AUDITING_CLIENT_TEMPLATE.FAT&amp;display_string=Audit&amp;VAR:KEY=LMLAZCPQJS&amp;VAR:QUERY=RkZfUEUoQU5OLDIwMDksLCwsVVNEKQ==&amp;WINDOW=FIRST_POPUP&amp;HEIGHT=450&amp;WIDTH=450&amp;START_MAXIMI","ZED=FALSE&amp;VAR:CALENDAR=FIVEDAY&amp;VAR:SYMBOL=B1VP94&amp;VAR:INDEX=0"}</definedName>
    <definedName name="_30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194"}</definedName>
    <definedName name="_309__FDSAUDITLINK__" hidden="1">{"fdsup://directions/FAT Viewer?action=UPDATE&amp;creator=factset&amp;DYN_ARGS=TRUE&amp;DOC_NAME=FAT:FQL_AUDITING_CLIENT_TEMPLATE.FAT&amp;display_string=Audit&amp;VAR:KEY=ZWHMRMXOLI&amp;VAR:QUERY=RkZfUEUoQU5OLDIwMTAsLCwsVVNEKQ==&amp;WINDOW=FIRST_POPUP&amp;HEIGHT=450&amp;WIDTH=450&amp;START_MAXIMI","ZED=FALSE&amp;VAR:CALENDAR=FIVEDAY&amp;VAR:SYMBOL=758670&amp;VAR:INDEX=0"}</definedName>
    <definedName name="_31__123Graph_AChart_2" hidden="1">#REF!</definedName>
    <definedName name="_31__123Graph_F_Chart_1A" hidden="1">#REF!</definedName>
    <definedName name="_31__123Graph_LBL_CCHART_13" hidden="1">#REF!</definedName>
    <definedName name="_31__123Graph_X_Chart_1A" hidden="1">#REF!</definedName>
    <definedName name="_31__FDSAUDITLINK__" localSheetId="0" hidden="1">{"fdsup://IBCentral/FAT Viewer?action=UPDATE&amp;creator=factset&amp;DOC_NAME=fat:reuters_qtrly_source_window.fat&amp;display_string=Audit&amp;DYN_ARGS=TRUE&amp;VAR:ID1=692737&amp;VAR:RCODE=STLD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31__FDSAUDITLINK__" hidden="1">{"fdsup://directions/FAT Viewer?action=UPDATE&amp;creator=factset&amp;DYN_ARGS=TRUE&amp;DOC_NAME=FAT:FQL_AUDITING_CLIENT_TEMPLATE.FAT&amp;display_string=Audit&amp;VAR:KEY=MRUZEDKVWD&amp;VAR:QUERY=RkZfRUJJVF9PUEVSX01HTihBTk4sMjAxMCk=&amp;WINDOW=FIRST_POPUP&amp;HEIGHT=450&amp;WIDTH=450&amp;START_MA","XIMIZED=FALSE&amp;VAR:CALENDAR=FIVEDAY&amp;VAR:SYMBOL=B1H11J&amp;VAR:INDEX=0"}</definedName>
    <definedName name="_31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193"}</definedName>
    <definedName name="_310__FDSAUDITLINK__" hidden="1">{"fdsup://directions/FAT Viewer?action=UPDATE&amp;creator=factset&amp;DYN_ARGS=TRUE&amp;DOC_NAME=FAT:FQL_AUDITING_CLIENT_TEMPLATE.FAT&amp;display_string=Audit&amp;VAR:KEY=XINORUDOZI&amp;VAR:QUERY=RkZfUEUoQU5OLDIwMDksLCwsVVNEKQ==&amp;WINDOW=FIRST_POPUP&amp;HEIGHT=450&amp;WIDTH=450&amp;START_MAXIMI","ZED=FALSE&amp;VAR:CALENDAR=FIVEDAY&amp;VAR:SYMBOL=758670&amp;VAR:INDEX=0"}</definedName>
    <definedName name="_31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192"}</definedName>
    <definedName name="_311__FDSAUDITLINK__" hidden="1">{"fdsup://directions/FAT Viewer?action=UPDATE&amp;creator=factset&amp;DYN_ARGS=TRUE&amp;DOC_NAME=FAT:FQL_AUDITING_CLIENT_TEMPLATE.FAT&amp;display_string=Audit&amp;VAR:KEY=LQDOBCFKXG&amp;VAR:QUERY=RkZfUEUoQU5OLDIwMTAsLCwsVVNEKQ==&amp;WINDOW=FIRST_POPUP&amp;HEIGHT=450&amp;WIDTH=450&amp;START_MAXIMI","ZED=FALSE&amp;VAR:CALENDAR=FIVEDAY&amp;VAR:SYMBOL=568104&amp;VAR:INDEX=0"}</definedName>
    <definedName name="_31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191"}</definedName>
    <definedName name="_312__FDSAUDITLINK__" hidden="1">{"fdsup://directions/FAT Viewer?action=UPDATE&amp;creator=factset&amp;DYN_ARGS=TRUE&amp;DOC_NAME=FAT:FQL_AUDITING_CLIENT_TEMPLATE.FAT&amp;display_string=Audit&amp;VAR:KEY=NSDMJGHAZI&amp;VAR:QUERY=RkZfUEUoQU5OLDIwMDksLCwsVVNEKQ==&amp;WINDOW=FIRST_POPUP&amp;HEIGHT=450&amp;WIDTH=450&amp;START_MAXIMI","ZED=FALSE&amp;VAR:CALENDAR=FIVEDAY&amp;VAR:SYMBOL=568104&amp;VAR:INDEX=0"}</definedName>
    <definedName name="_31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190"}</definedName>
    <definedName name="_313__FDSAUDITLINK__" hidden="1">{"fdsup://directions/FAT Viewer?action=UPDATE&amp;creator=factset&amp;DYN_ARGS=TRUE&amp;DOC_NAME=FAT:FQL_AUDITING_CLIENT_TEMPLATE.FAT&amp;display_string=Audit&amp;VAR:KEY=XONGBGJKXO&amp;VAR:QUERY=RkZfUEUoQU5OLDIwMTAsLCwsVVNEKQ==&amp;WINDOW=FIRST_POPUP&amp;HEIGHT=450&amp;WIDTH=450&amp;START_MAXIMI","ZED=FALSE&amp;VAR:CALENDAR=FIVEDAY&amp;VAR:SYMBOL=B1BFM5&amp;VAR:INDEX=0"}</definedName>
    <definedName name="_31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189"}</definedName>
    <definedName name="_314__FDSAUDITLINK__" hidden="1">{"fdsup://directions/FAT Viewer?action=UPDATE&amp;creator=factset&amp;DYN_ARGS=TRUE&amp;DOC_NAME=FAT:FQL_AUDITING_CLIENT_TEMPLATE.FAT&amp;display_string=Audit&amp;VAR:KEY=BYNIHWHGPO&amp;VAR:QUERY=RkZfUEUoQU5OLDIwMDksLCwsVVNEKQ==&amp;WINDOW=FIRST_POPUP&amp;HEIGHT=450&amp;WIDTH=450&amp;START_MAXIMI","ZED=FALSE&amp;VAR:CALENDAR=FIVEDAY&amp;VAR:SYMBOL=B1BFM5&amp;VAR:INDEX=0"}</definedName>
    <definedName name="_31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188"}</definedName>
    <definedName name="_315__FDSAUDITLINK__" hidden="1">{"fdsup://directions/FAT Viewer?action=UPDATE&amp;creator=factset&amp;DYN_ARGS=TRUE&amp;DOC_NAME=FAT:FQL_AUDITING_CLIENT_TEMPLATE.FAT&amp;display_string=Audit&amp;VAR:KEY=NWXGNWZQLU&amp;VAR:QUERY=RkZfUEUoQU5OLDIwMTAsLCwsVVNEKQ==&amp;WINDOW=FIRST_POPUP&amp;HEIGHT=450&amp;WIDTH=450&amp;START_MAXIMI","ZED=FALSE&amp;VAR:CALENDAR=FIVEDAY&amp;VAR:SYMBOL=580813&amp;VAR:INDEX=0"}</definedName>
    <definedName name="_31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187"}</definedName>
    <definedName name="_316__FDSAUDITLINK__" hidden="1">{"fdsup://directions/FAT Viewer?action=UPDATE&amp;creator=factset&amp;DYN_ARGS=TRUE&amp;DOC_NAME=FAT:FQL_AUDITING_CLIENT_TEMPLATE.FAT&amp;display_string=Audit&amp;VAR:KEY=ZCXUBQFQNS&amp;VAR:QUERY=RkZfUEUoQU5OLDIwMDksLCwsVVNEKQ==&amp;WINDOW=FIRST_POPUP&amp;HEIGHT=450&amp;WIDTH=450&amp;START_MAXIMI","ZED=FALSE&amp;VAR:CALENDAR=FIVEDAY&amp;VAR:SYMBOL=580813&amp;VAR:INDEX=0"}</definedName>
    <definedName name="_31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186"}</definedName>
    <definedName name="_317__FDSAUDITLINK__" hidden="1">{"fdsup://directions/FAT Viewer?action=UPDATE&amp;creator=factset&amp;DYN_ARGS=TRUE&amp;DOC_NAME=FAT:FQL_AUDITING_CLIENT_TEMPLATE.FAT&amp;display_string=Audit&amp;VAR:KEY=VSFOHGFCZG&amp;VAR:QUERY=RkZfUEUoQU5OLDIwMTAsLCwsVVNEKQ==&amp;WINDOW=FIRST_POPUP&amp;HEIGHT=450&amp;WIDTH=450&amp;START_MAXIMI","ZED=FALSE&amp;VAR:CALENDAR=FIVEDAY&amp;VAR:SYMBOL=B0XP0T&amp;VAR:INDEX=0"}</definedName>
    <definedName name="_31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185"}</definedName>
    <definedName name="_318__FDSAUDITLINK__" hidden="1">{"fdsup://directions/FAT Viewer?action=UPDATE&amp;creator=factset&amp;DYN_ARGS=TRUE&amp;DOC_NAME=FAT:FQL_AUDITING_CLIENT_TEMPLATE.FAT&amp;display_string=Audit&amp;VAR:KEY=XURCNUNOBA&amp;VAR:QUERY=RkZfUEUoQU5OLDIwMDksLCwsVVNEKQ==&amp;WINDOW=FIRST_POPUP&amp;HEIGHT=450&amp;WIDTH=450&amp;START_MAXIMI","ZED=FALSE&amp;VAR:CALENDAR=FIVEDAY&amp;VAR:SYMBOL=B0XP0T&amp;VAR:INDEX=0"}</definedName>
    <definedName name="_31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184"}</definedName>
    <definedName name="_319__FDSAUDITLINK__" hidden="1">{"fdsup://directions/FAT Viewer?action=UPDATE&amp;creator=factset&amp;DYN_ARGS=TRUE&amp;DOC_NAME=FAT:FQL_AUDITING_CLIENT_TEMPLATE.FAT&amp;display_string=Audit&amp;VAR:KEY=HWNCBWVQFQ&amp;VAR:QUERY=RkZfUEUoQU5OLDIwMTAsLCwsVVNEKQ==&amp;WINDOW=FIRST_POPUP&amp;HEIGHT=450&amp;WIDTH=450&amp;START_MAXIMI","ZED=FALSE&amp;VAR:CALENDAR=FIVEDAY&amp;VAR:SYMBOL=318094&amp;VAR:INDEX=0"}</definedName>
    <definedName name="_32__123Graph_AChart_3" hidden="1">#REF!</definedName>
    <definedName name="_32__123Graph_CCHART_5" hidden="1">#REF!</definedName>
    <definedName name="_32__123Graph_LBL_ACHART_1" hidden="1">#REF!</definedName>
    <definedName name="_32__123Graph_LBL_CCHART_14" hidden="1">#REF!</definedName>
    <definedName name="_32__123Graph_X_Chart_1A" hidden="1">#REF!</definedName>
    <definedName name="_32__123Graph_XChart_1" hidden="1">#REF!</definedName>
    <definedName name="_32__FDSAUDITLINK__" localSheetId="0" hidden="1">{"fdsup://IBCentral/FAT Viewer?action=UPDATE&amp;creator=factset&amp;DOC_NAME=fat:reuters_qtrly_source_window.fat&amp;display_string=Audit&amp;DYN_ARGS=TRUE&amp;VAR:ID1=692737&amp;VAR:RCODE=STLD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32__FDSAUDITLINK__" hidden="1">{"fdsup://directions/FAT Viewer?action=UPDATE&amp;creator=factset&amp;DYN_ARGS=TRUE&amp;DOC_NAME=FAT:FQL_AUDITING_CLIENT_TEMPLATE.FAT&amp;display_string=Audit&amp;VAR:KEY=MTMNKPKPCT&amp;VAR:QUERY=RkZfRUJJVF9PUEVSX01HTihBTk4sMjAwOSwsLCxVU0Qp&amp;WINDOW=FIRST_POPUP&amp;HEIGHT=450&amp;WIDTH=450&amp;","START_MAXIMIZED=FALSE&amp;VAR:CALENDAR=FIVEDAY&amp;VAR:SYMBOL=B1H11J&amp;VAR:INDEX=0"}</definedName>
    <definedName name="_32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183"}</definedName>
    <definedName name="_320__FDSAUDITLINK__" hidden="1">{"fdsup://directions/FAT Viewer?action=UPDATE&amp;creator=factset&amp;DYN_ARGS=TRUE&amp;DOC_NAME=FAT:FQL_AUDITING_CLIENT_TEMPLATE.FAT&amp;display_string=Audit&amp;VAR:KEY=VIZMHYXSBG&amp;VAR:QUERY=RkZfUEUoQU5OLDIwMDksLCwsVVNEKQ==&amp;WINDOW=FIRST_POPUP&amp;HEIGHT=450&amp;WIDTH=450&amp;START_MAXIMI","ZED=FALSE&amp;VAR:CALENDAR=FIVEDAY&amp;VAR:SYMBOL=318094&amp;VAR:INDEX=0"}</definedName>
    <definedName name="_32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182"}</definedName>
    <definedName name="_321__FDSAUDITLINK__" hidden="1">{"fdsup://directions/FAT Viewer?action=UPDATE&amp;creator=factset&amp;DYN_ARGS=TRUE&amp;DOC_NAME=FAT:FQL_AUDITING_CLIENT_TEMPLATE.FAT&amp;display_string=Audit&amp;VAR:KEY=HMLCLUXEJE&amp;VAR:QUERY=RkZfUEUoQU5OLDIwMTAsLCwsVVNEKQ==&amp;WINDOW=FIRST_POPUP&amp;HEIGHT=450&amp;WIDTH=450&amp;START_MAXIMI","ZED=FALSE&amp;VAR:CALENDAR=FIVEDAY&amp;VAR:SYMBOL=B01FLL&amp;VAR:INDEX=0"}</definedName>
    <definedName name="_32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181"}</definedName>
    <definedName name="_322__FDSAUDITLINK__" hidden="1">{"fdsup://directions/FAT Viewer?action=UPDATE&amp;creator=factset&amp;DYN_ARGS=TRUE&amp;DOC_NAME=FAT:FQL_AUDITING_CLIENT_TEMPLATE.FAT&amp;display_string=Audit&amp;VAR:KEY=DEBOXAHGTC&amp;VAR:QUERY=RkZfUEUoQU5OLDIwMDksLCwsVVNEKQ==&amp;WINDOW=FIRST_POPUP&amp;HEIGHT=450&amp;WIDTH=450&amp;START_MAXIMI","ZED=FALSE&amp;VAR:CALENDAR=FIVEDAY&amp;VAR:SYMBOL=B01FLL&amp;VAR:INDEX=0"}</definedName>
    <definedName name="_32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180"}</definedName>
    <definedName name="_323__FDSAUDITLINK__" hidden="1">{"fdsup://directions/FAT Viewer?action=UPDATE&amp;creator=factset&amp;DYN_ARGS=TRUE&amp;DOC_NAME=FAT:FQL_AUDITING_CLIENT_TEMPLATE.FAT&amp;display_string=Audit&amp;VAR:KEY=LADOPEREZM&amp;VAR:QUERY=RkZfUEUoQU5OLDIwMTAsLCwsVVNEKQ==&amp;WINDOW=FIRST_POPUP&amp;HEIGHT=450&amp;WIDTH=450&amp;START_MAXIMI","ZED=FALSE&amp;VAR:CALENDAR=FIVEDAY&amp;VAR:SYMBOL=417798&amp;VAR:INDEX=0"}</definedName>
    <definedName name="_32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179"}</definedName>
    <definedName name="_324__FDSAUDITLINK__" hidden="1">{"fdsup://directions/FAT Viewer?action=UPDATE&amp;creator=factset&amp;DYN_ARGS=TRUE&amp;DOC_NAME=FAT:FQL_AUDITING_CLIENT_TEMPLATE.FAT&amp;display_string=Audit&amp;VAR:KEY=JWNSLKPMJA&amp;VAR:QUERY=RkZfUEUoQU5OLDIwMDksLCwsVVNEKQ==&amp;WINDOW=FIRST_POPUP&amp;HEIGHT=450&amp;WIDTH=450&amp;START_MAXIMI","ZED=FALSE&amp;VAR:CALENDAR=FIVEDAY&amp;VAR:SYMBOL=417798&amp;VAR:INDEX=0"}</definedName>
    <definedName name="_32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178"}</definedName>
    <definedName name="_325__FDSAUDITLINK__" hidden="1">{"fdsup://directions/FAT Viewer?action=UPDATE&amp;creator=factset&amp;DYN_ARGS=TRUE&amp;DOC_NAME=FAT:FQL_AUDITING_CLIENT_TEMPLATE.FAT&amp;display_string=Audit&amp;VAR:KEY=TEPCRCTKBG&amp;VAR:QUERY=RkZfUEUoQU5OLDIwMTAsLCwsVVNEKQ==&amp;WINDOW=FIRST_POPUP&amp;HEIGHT=450&amp;WIDTH=450&amp;START_MAXIMI","ZED=FALSE&amp;VAR:CALENDAR=FIVEDAY&amp;VAR:SYMBOL=490014&amp;VAR:INDEX=0"}</definedName>
    <definedName name="_32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177"}</definedName>
    <definedName name="_326__FDSAUDITLINK__" hidden="1">{"fdsup://directions/FAT Viewer?action=UPDATE&amp;creator=factset&amp;DYN_ARGS=TRUE&amp;DOC_NAME=FAT:FQL_AUDITING_CLIENT_TEMPLATE.FAT&amp;display_string=Audit&amp;VAR:KEY=XSLMZMNQFE&amp;VAR:QUERY=RkZfUEUoQU5OLDIwMDksLCwsVVNEKQ==&amp;WINDOW=FIRST_POPUP&amp;HEIGHT=450&amp;WIDTH=450&amp;START_MAXIMI","ZED=FALSE&amp;VAR:CALENDAR=FIVEDAY&amp;VAR:SYMBOL=490014&amp;VAR:INDEX=0"}</definedName>
    <definedName name="_32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176"}</definedName>
    <definedName name="_327__FDSAUDITLINK__" hidden="1">{"fdsup://directions/FAT Viewer?action=UPDATE&amp;creator=factset&amp;DYN_ARGS=TRUE&amp;DOC_NAME=FAT:FQL_AUDITING_CLIENT_TEMPLATE.FAT&amp;display_string=Audit&amp;VAR:KEY=BEJAPAHCJM&amp;VAR:QUERY=RkZfTkVUX0lOQyhBTk4sMjAxMCwsLCxVU0Qp&amp;WINDOW=FIRST_POPUP&amp;HEIGHT=450&amp;WIDTH=450&amp;START_MA","XIMIZED=FALSE&amp;VAR:CALENDAR=FIVEDAY&amp;VAR:SYMBOL=464330&amp;VAR:INDEX=0"}</definedName>
    <definedName name="_32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175"}</definedName>
    <definedName name="_328__FDSAUDITLINK__" hidden="1">{"fdsup://directions/FAT Viewer?action=UPDATE&amp;creator=factset&amp;DYN_ARGS=TRUE&amp;DOC_NAME=FAT:FQL_AUDITING_CLIENT_TEMPLATE.FAT&amp;display_string=Audit&amp;VAR:KEY=BULUZGHOHO&amp;VAR:QUERY=RkZfTkVUX0lOQyhBTk4sMjAwOSwsLCxVU0Qp&amp;WINDOW=FIRST_POPUP&amp;HEIGHT=450&amp;WIDTH=450&amp;START_MA","XIMIZED=FALSE&amp;VAR:CALENDAR=FIVEDAY&amp;VAR:SYMBOL=464330&amp;VAR:INDEX=0"}</definedName>
    <definedName name="_32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174"}</definedName>
    <definedName name="_329__FDSAUDITLINK__" hidden="1">{"fdsup://directions/FAT Viewer?action=UPDATE&amp;creator=factset&amp;DYN_ARGS=TRUE&amp;DOC_NAME=FAT:FQL_AUDITING_CLIENT_TEMPLATE.FAT&amp;display_string=Audit&amp;VAR:KEY=PWVKFKFOVC&amp;VAR:QUERY=RkZfTkVUX0lOQyhBTk4sMjAxMCwsLCxVU0Qp&amp;WINDOW=FIRST_POPUP&amp;HEIGHT=450&amp;WIDTH=450&amp;START_MA","XIMIZED=FALSE&amp;VAR:CALENDAR=FIVEDAY&amp;VAR:SYMBOL=561112&amp;VAR:INDEX=0"}</definedName>
    <definedName name="_33__123Graph_AChart_4" hidden="1">#REF!</definedName>
    <definedName name="_33__123Graph_CCHART_1" hidden="1">#REF!</definedName>
    <definedName name="_33__123Graph_LBL_CCHART_31" hidden="1">#REF!</definedName>
    <definedName name="_33__123Graph_XChart_1" hidden="1">#REF!</definedName>
    <definedName name="_33__123Graph_XChart_2" hidden="1">#REF!</definedName>
    <definedName name="_33__FDSAUDITLINK__" localSheetId="0" hidden="1">{"fdsup://Directions/FactSet Auditing Viewer?action=AUDIT_VALUE&amp;DB=129&amp;ID1=692737&amp;VALUEID=04601&amp;SDATE=2009&amp;PERIODTYPE=ANN_STD&amp;window=popup_no_bar&amp;width=385&amp;height=120&amp;START_MAXIMIZED=FALSE&amp;creator=factset&amp;display_string=Audit"}</definedName>
    <definedName name="_33__FDSAUDITLINK__" hidden="1">{"fdsup://directions/FAT Viewer?action=UPDATE&amp;creator=factset&amp;DYN_ARGS=TRUE&amp;DOC_NAME=FAT:FQL_AUDITING_CLIENT_TEMPLATE.FAT&amp;display_string=Audit&amp;VAR:KEY=WDCRKTATWZ&amp;VAR:QUERY=RkZfRUJJVF9PUEVSX01HTihBTk4sMjAxMCk=&amp;WINDOW=FIRST_POPUP&amp;HEIGHT=450&amp;WIDTH=450&amp;START_MA","XIMIZED=FALSE&amp;VAR:CALENDAR=FIVEDAY&amp;VAR:SYMBOL=B599D1&amp;VAR:INDEX=0"}</definedName>
    <definedName name="_33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173"}</definedName>
    <definedName name="_330__FDSAUDITLINK__" hidden="1">{"fdsup://directions/FAT Viewer?action=UPDATE&amp;creator=factset&amp;DYN_ARGS=TRUE&amp;DOC_NAME=FAT:FQL_AUDITING_CLIENT_TEMPLATE.FAT&amp;display_string=Audit&amp;VAR:KEY=RIVGFQBQFW&amp;VAR:QUERY=RkZfTkVUX0lOQyhBTk4sMjAwOSwsLCxVU0Qp&amp;WINDOW=FIRST_POPUP&amp;HEIGHT=450&amp;WIDTH=450&amp;START_MA","XIMIZED=FALSE&amp;VAR:CALENDAR=FIVEDAY&amp;VAR:SYMBOL=561112&amp;VAR:INDEX=0"}</definedName>
    <definedName name="_33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172"}</definedName>
    <definedName name="_331__FDSAUDITLINK__" hidden="1">{"fdsup://directions/FAT Viewer?action=UPDATE&amp;creator=factset&amp;DYN_ARGS=TRUE&amp;DOC_NAME=FAT:FQL_AUDITING_CLIENT_TEMPLATE.FAT&amp;display_string=Audit&amp;VAR:KEY=ZCNIBATWPM&amp;VAR:QUERY=RkZfTkVUX0lOQyhBTk4sMjAxMCwsLCxVU0Qp&amp;WINDOW=FIRST_POPUP&amp;HEIGHT=450&amp;WIDTH=450&amp;START_MA","XIMIZED=FALSE&amp;VAR:CALENDAR=FIVEDAY&amp;VAR:SYMBOL=B1VP94&amp;VAR:INDEX=0"}</definedName>
    <definedName name="_33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171"}</definedName>
    <definedName name="_332__FDSAUDITLINK__" hidden="1">{"fdsup://directions/FAT Viewer?action=UPDATE&amp;creator=factset&amp;DYN_ARGS=TRUE&amp;DOC_NAME=FAT:FQL_AUDITING_CLIENT_TEMPLATE.FAT&amp;display_string=Audit&amp;VAR:KEY=RUBODURAXK&amp;VAR:QUERY=RkZfTkVUX0lOQyhBTk4sMjAwOSwsLCxVU0Qp&amp;WINDOW=FIRST_POPUP&amp;HEIGHT=450&amp;WIDTH=450&amp;START_MA","XIMIZED=FALSE&amp;VAR:CALENDAR=FIVEDAY&amp;VAR:SYMBOL=B1VP94&amp;VAR:INDEX=0"}</definedName>
    <definedName name="_33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170"}</definedName>
    <definedName name="_333__FDSAUDITLINK__" hidden="1">{"fdsup://directions/FAT Viewer?action=UPDATE&amp;creator=factset&amp;DYN_ARGS=TRUE&amp;DOC_NAME=FAT:FQL_AUDITING_CLIENT_TEMPLATE.FAT&amp;display_string=Audit&amp;VAR:KEY=VYBYJWXCHE&amp;VAR:QUERY=RkZfTkVUX0lOQyhBTk4sMjAxMCwsLCxVU0Qp&amp;WINDOW=FIRST_POPUP&amp;HEIGHT=450&amp;WIDTH=450&amp;START_MA","XIMIZED=FALSE&amp;VAR:CALENDAR=FIVEDAY&amp;VAR:SYMBOL=758670&amp;VAR:INDEX=0"}</definedName>
    <definedName name="_33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169"}</definedName>
    <definedName name="_334__FDSAUDITLINK__" hidden="1">{"fdsup://directions/FAT Viewer?action=UPDATE&amp;creator=factset&amp;DYN_ARGS=TRUE&amp;DOC_NAME=FAT:FQL_AUDITING_CLIENT_TEMPLATE.FAT&amp;display_string=Audit&amp;VAR:KEY=NWLCXABKRA&amp;VAR:QUERY=RkZfTkVUX0lOQyhBTk4sMjAwOSwsLCxVU0Qp&amp;WINDOW=FIRST_POPUP&amp;HEIGHT=450&amp;WIDTH=450&amp;START_MA","XIMIZED=FALSE&amp;VAR:CALENDAR=FIVEDAY&amp;VAR:SYMBOL=758670&amp;VAR:INDEX=0"}</definedName>
    <definedName name="_33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168"}</definedName>
    <definedName name="_335__FDSAUDITLINK__" hidden="1">{"fdsup://directions/FAT Viewer?action=UPDATE&amp;creator=factset&amp;DYN_ARGS=TRUE&amp;DOC_NAME=FAT:FQL_AUDITING_CLIENT_TEMPLATE.FAT&amp;display_string=Audit&amp;VAR:KEY=HYXOTKZOXO&amp;VAR:QUERY=RkZfTkVUX0lOQyhBTk4sMjAxMCwsLCxVU0Qp&amp;WINDOW=FIRST_POPUP&amp;HEIGHT=450&amp;WIDTH=450&amp;START_MA","XIMIZED=FALSE&amp;VAR:CALENDAR=FIVEDAY&amp;VAR:SYMBOL=568104&amp;VAR:INDEX=0"}</definedName>
    <definedName name="_33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167"}</definedName>
    <definedName name="_336__FDSAUDITLINK__" hidden="1">{"fdsup://directions/FAT Viewer?action=UPDATE&amp;creator=factset&amp;DYN_ARGS=TRUE&amp;DOC_NAME=FAT:FQL_AUDITING_CLIENT_TEMPLATE.FAT&amp;display_string=Audit&amp;VAR:KEY=JQDSFYZAXY&amp;VAR:QUERY=RkZfTkVUX0lOQyhBTk4sMjAwOSwsLCxVU0Qp&amp;WINDOW=FIRST_POPUP&amp;HEIGHT=450&amp;WIDTH=450&amp;START_MA","XIMIZED=FALSE&amp;VAR:CALENDAR=FIVEDAY&amp;VAR:SYMBOL=568104&amp;VAR:INDEX=0"}</definedName>
    <definedName name="_33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166"}</definedName>
    <definedName name="_337__FDSAUDITLINK__" hidden="1">{"fdsup://directions/FAT Viewer?action=UPDATE&amp;creator=factset&amp;DYN_ARGS=TRUE&amp;DOC_NAME=FAT:FQL_AUDITING_CLIENT_TEMPLATE.FAT&amp;display_string=Audit&amp;VAR:KEY=FETOZYHMLC&amp;VAR:QUERY=RkZfTkVUX0lOQyhBTk4sMjAxMCwsLCxVU0Qp&amp;WINDOW=FIRST_POPUP&amp;HEIGHT=450&amp;WIDTH=450&amp;START_MA","XIMIZED=FALSE&amp;VAR:CALENDAR=FIVEDAY&amp;VAR:SYMBOL=B1BFM5&amp;VAR:INDEX=0"}</definedName>
    <definedName name="_33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165"}</definedName>
    <definedName name="_338__FDSAUDITLINK__" hidden="1">{"fdsup://directions/FAT Viewer?action=UPDATE&amp;creator=factset&amp;DYN_ARGS=TRUE&amp;DOC_NAME=FAT:FQL_AUDITING_CLIENT_TEMPLATE.FAT&amp;display_string=Audit&amp;VAR:KEY=BWLQRCXAXS&amp;VAR:QUERY=RkZfTkVUX0lOQyhBTk4sMjAwOSwsLCxVU0Qp&amp;WINDOW=FIRST_POPUP&amp;HEIGHT=450&amp;WIDTH=450&amp;START_MA","XIMIZED=FALSE&amp;VAR:CALENDAR=FIVEDAY&amp;VAR:SYMBOL=B1BFM5&amp;VAR:INDEX=0"}</definedName>
    <definedName name="_33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164"}</definedName>
    <definedName name="_339__FDSAUDITLINK__" hidden="1">{"fdsup://directions/FAT Viewer?action=UPDATE&amp;creator=factset&amp;DYN_ARGS=TRUE&amp;DOC_NAME=FAT:FQL_AUDITING_CLIENT_TEMPLATE.FAT&amp;display_string=Audit&amp;VAR:KEY=ZOFGTIZMZM&amp;VAR:QUERY=RkZfTkVUX0lOQyhBTk4sMjAxMCwsLCxVU0Qp&amp;WINDOW=FIRST_POPUP&amp;HEIGHT=450&amp;WIDTH=450&amp;START_MA","XIMIZED=FALSE&amp;VAR:CALENDAR=FIVEDAY&amp;VAR:SYMBOL=580813&amp;VAR:INDEX=0"}</definedName>
    <definedName name="_33W1_" localSheetId="0" hidden="1">{#N/A,#N/A,FALSE,"OffAdvance";#N/A,#N/A,FALSE,"OffExpRprt";#N/A,#N/A,FALSE,"Entertmnt";#N/A,#N/A,FALSE,"Promotion";#N/A,#N/A,FALSE,"Travelling"}</definedName>
    <definedName name="_33W1_" hidden="1">{#N/A,#N/A,FALSE,"OffAdvance";#N/A,#N/A,FALSE,"OffExpRprt";#N/A,#N/A,FALSE,"Entertmnt";#N/A,#N/A,FALSE,"Promotion";#N/A,#N/A,FALSE,"Travelling"}</definedName>
    <definedName name="_34__123Graph_AChart_5" hidden="1">#REF!</definedName>
    <definedName name="_34__123Graph_CCHART_2" hidden="1">#REF!</definedName>
    <definedName name="_34__123Graph_ECHART_2" hidden="1">#REF!</definedName>
    <definedName name="_34__123Graph_LBL_DCHART_15" hidden="1">#REF!</definedName>
    <definedName name="_34__123Graph_XChart_2" hidden="1">#REF!</definedName>
    <definedName name="_34__123Graph_XChart_3" hidden="1">#REF!</definedName>
    <definedName name="_34__FDSAUDITLINK__" localSheetId="0" hidden="1">{"fdsup://Directions/FactSet Auditing Viewer?action=AUDIT_VALUE&amp;DB=129&amp;ID1=692737&amp;VALUEID=04601&amp;SDATE=2008&amp;PERIODTYPE=ANN_STD&amp;window=popup_no_bar&amp;width=385&amp;height=120&amp;START_MAXIMIZED=FALSE&amp;creator=factset&amp;display_string=Audit"}</definedName>
    <definedName name="_34__FDSAUDITLINK__" hidden="1">{"fdsup://directions/FAT Viewer?action=UPDATE&amp;creator=factset&amp;DYN_ARGS=TRUE&amp;DOC_NAME=FAT:FQL_AUDITING_CLIENT_TEMPLATE.FAT&amp;display_string=Audit&amp;VAR:KEY=SFQXIRILEZ&amp;VAR:QUERY=RkZfRUJJVF9PUEVSX01HTihBTk4sMjAwOSwsLCxVU0Qp&amp;WINDOW=FIRST_POPUP&amp;HEIGHT=450&amp;WIDTH=450&amp;","START_MAXIMIZED=FALSE&amp;VAR:CALENDAR=FIVEDAY&amp;VAR:SYMBOL=B599D1&amp;VAR:INDEX=0"}</definedName>
    <definedName name="_34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163"}</definedName>
    <definedName name="_340__FDSAUDITLINK__" hidden="1">{"fdsup://directions/FAT Viewer?action=UPDATE&amp;creator=factset&amp;DYN_ARGS=TRUE&amp;DOC_NAME=FAT:FQL_AUDITING_CLIENT_TEMPLATE.FAT&amp;display_string=Audit&amp;VAR:KEY=JYLWBOJQJQ&amp;VAR:QUERY=RkZfTkVUX0lOQyhBTk4sMjAwOSwsLCxVU0Qp&amp;WINDOW=FIRST_POPUP&amp;HEIGHT=450&amp;WIDTH=450&amp;START_MA","XIMIZED=FALSE&amp;VAR:CALENDAR=FIVEDAY&amp;VAR:SYMBOL=580813&amp;VAR:INDEX=0"}</definedName>
    <definedName name="_34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162"}</definedName>
    <definedName name="_341__FDSAUDITLINK__" hidden="1">{"fdsup://directions/FAT Viewer?action=UPDATE&amp;creator=factset&amp;DYN_ARGS=TRUE&amp;DOC_NAME=FAT:FQL_AUDITING_CLIENT_TEMPLATE.FAT&amp;display_string=Audit&amp;VAR:KEY=TYDMLKHCDM&amp;VAR:QUERY=RkZfTkVUX0lOQyhBTk4sMjAxMCwsLCxVU0Qp&amp;WINDOW=FIRST_POPUP&amp;HEIGHT=450&amp;WIDTH=450&amp;START_MA","XIMIZED=FALSE&amp;VAR:CALENDAR=FIVEDAY&amp;VAR:SYMBOL=B0XP0T&amp;VAR:INDEX=0"}</definedName>
    <definedName name="_34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161"}</definedName>
    <definedName name="_342__FDSAUDITLINK__" hidden="1">{"fdsup://directions/FAT Viewer?action=UPDATE&amp;creator=factset&amp;DYN_ARGS=TRUE&amp;DOC_NAME=FAT:FQL_AUDITING_CLIENT_TEMPLATE.FAT&amp;display_string=Audit&amp;VAR:KEY=JWFQDCLCTO&amp;VAR:QUERY=RkZfTkVUX0lOQyhBTk4sMjAwOSwsLCxVU0Qp&amp;WINDOW=FIRST_POPUP&amp;HEIGHT=450&amp;WIDTH=450&amp;START_MA","XIMIZED=FALSE&amp;VAR:CALENDAR=FIVEDAY&amp;VAR:SYMBOL=B0XP0T&amp;VAR:INDEX=0"}</definedName>
    <definedName name="_34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160"}</definedName>
    <definedName name="_343__FDSAUDITLINK__" hidden="1">{"fdsup://directions/FAT Viewer?action=UPDATE&amp;creator=factset&amp;DYN_ARGS=TRUE&amp;DOC_NAME=FAT:FQL_AUDITING_CLIENT_TEMPLATE.FAT&amp;display_string=Audit&amp;VAR:KEY=JEHMBSHUVQ&amp;VAR:QUERY=RkZfTkVUX0lOQyhBTk4sMjAxMCwsLCxVU0Qp&amp;WINDOW=FIRST_POPUP&amp;HEIGHT=450&amp;WIDTH=450&amp;START_MA","XIMIZED=FALSE&amp;VAR:CALENDAR=FIVEDAY&amp;VAR:SYMBOL=318094&amp;VAR:INDEX=0"}</definedName>
    <definedName name="_34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159"}</definedName>
    <definedName name="_344__FDSAUDITLINK__" hidden="1">{"fdsup://directions/FAT Viewer?action=UPDATE&amp;creator=factset&amp;DYN_ARGS=TRUE&amp;DOC_NAME=FAT:FQL_AUDITING_CLIENT_TEMPLATE.FAT&amp;display_string=Audit&amp;VAR:KEY=TMHUJEXYBG&amp;VAR:QUERY=RkZfTkVUX0lOQyhBTk4sMjAwOSwsLCxVU0Qp&amp;WINDOW=FIRST_POPUP&amp;HEIGHT=450&amp;WIDTH=450&amp;START_MA","XIMIZED=FALSE&amp;VAR:CALENDAR=FIVEDAY&amp;VAR:SYMBOL=318094&amp;VAR:INDEX=0"}</definedName>
    <definedName name="_34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158"}</definedName>
    <definedName name="_345__FDSAUDITLINK__" hidden="1">{"fdsup://directions/FAT Viewer?action=UPDATE&amp;creator=factset&amp;DYN_ARGS=TRUE&amp;DOC_NAME=FAT:FQL_AUDITING_CLIENT_TEMPLATE.FAT&amp;display_string=Audit&amp;VAR:KEY=XGTMHMLYNY&amp;VAR:QUERY=RkZfTkVUX0lOQyhBTk4sMjAxMCwsLCxVU0Qp&amp;WINDOW=FIRST_POPUP&amp;HEIGHT=450&amp;WIDTH=450&amp;START_MA","XIMIZED=FALSE&amp;VAR:CALENDAR=FIVEDAY&amp;VAR:SYMBOL=B01FLL&amp;VAR:INDEX=0"}</definedName>
    <definedName name="_34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157"}</definedName>
    <definedName name="_346__FDSAUDITLINK__" hidden="1">{"fdsup://directions/FAT Viewer?action=UPDATE&amp;creator=factset&amp;DYN_ARGS=TRUE&amp;DOC_NAME=FAT:FQL_AUDITING_CLIENT_TEMPLATE.FAT&amp;display_string=Audit&amp;VAR:KEY=TYNAFINCRM&amp;VAR:QUERY=RkZfTkVUX0lOQyhBTk4sMjAwOSwsLCxVU0Qp&amp;WINDOW=FIRST_POPUP&amp;HEIGHT=450&amp;WIDTH=450&amp;START_MA","XIMIZED=FALSE&amp;VAR:CALENDAR=FIVEDAY&amp;VAR:SYMBOL=B01FLL&amp;VAR:INDEX=0"}</definedName>
    <definedName name="_34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156"}</definedName>
    <definedName name="_347__FDSAUDITLINK__" hidden="1">{"fdsup://directions/FAT Viewer?action=UPDATE&amp;creator=factset&amp;DYN_ARGS=TRUE&amp;DOC_NAME=FAT:FQL_AUDITING_CLIENT_TEMPLATE.FAT&amp;display_string=Audit&amp;VAR:KEY=VAHMLGZOHS&amp;VAR:QUERY=RkZfTkVUX0lOQyhBTk4sMjAxMCwsLCxVU0Qp&amp;WINDOW=FIRST_POPUP&amp;HEIGHT=450&amp;WIDTH=450&amp;START_MA","XIMIZED=FALSE&amp;VAR:CALENDAR=FIVEDAY&amp;VAR:SYMBOL=417798&amp;VAR:INDEX=0"}</definedName>
    <definedName name="_34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155"}</definedName>
    <definedName name="_348__FDSAUDITLINK__" hidden="1">{"fdsup://directions/FAT Viewer?action=UPDATE&amp;creator=factset&amp;DYN_ARGS=TRUE&amp;DOC_NAME=FAT:FQL_AUDITING_CLIENT_TEMPLATE.FAT&amp;display_string=Audit&amp;VAR:KEY=HMVYJSRQTI&amp;VAR:QUERY=RkZfTkVUX0lOQyhBTk4sMjAwOSwsLCxVU0Qp&amp;WINDOW=FIRST_POPUP&amp;HEIGHT=450&amp;WIDTH=450&amp;START_MA","XIMIZED=FALSE&amp;VAR:CALENDAR=FIVEDAY&amp;VAR:SYMBOL=417798&amp;VAR:INDEX=0"}</definedName>
    <definedName name="_34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154"}</definedName>
    <definedName name="_349__FDSAUDITLINK__" hidden="1">{"fdsup://directions/FAT Viewer?action=UPDATE&amp;creator=factset&amp;DYN_ARGS=TRUE&amp;DOC_NAME=FAT:FQL_AUDITING_CLIENT_TEMPLATE.FAT&amp;display_string=Audit&amp;VAR:KEY=JWXOBMRQHY&amp;VAR:QUERY=RkZfTkVUX0lOQyhBTk4sMjAxMCwsLCxVU0Qp&amp;WINDOW=FIRST_POPUP&amp;HEIGHT=450&amp;WIDTH=450&amp;START_MA","XIMIZED=FALSE&amp;VAR:CALENDAR=FIVEDAY&amp;VAR:SYMBOL=490014&amp;VAR:INDEX=0"}</definedName>
    <definedName name="_35__123Graph_AChart_6" hidden="1">#REF!</definedName>
    <definedName name="_35__123Graph_LBL_DCHART_18" hidden="1">#REF!</definedName>
    <definedName name="_35__123Graph_XChart_3" hidden="1">#REF!</definedName>
    <definedName name="_35__123Graph_XChart_4" hidden="1">#REF!</definedName>
    <definedName name="_35__FDSAUDITLINK__" localSheetId="0" hidden="1">{"fdsup://Directions/FactSet Auditing Viewer?action=AUDIT_VALUE&amp;DB=129&amp;ID1=692737&amp;VALUEID=04601&amp;SDATE=2007&amp;PERIODTYPE=ANN_STD&amp;window=popup_no_bar&amp;width=385&amp;height=120&amp;START_MAXIMIZED=FALSE&amp;creator=factset&amp;display_string=Audit"}</definedName>
    <definedName name="_35__FDSAUDITLINK__" hidden="1">{"fdsup://directions/FAT Viewer?action=UPDATE&amp;creator=factset&amp;DYN_ARGS=TRUE&amp;DOC_NAME=FAT:FQL_AUDITING_CLIENT_TEMPLATE.FAT&amp;display_string=Audit&amp;VAR:KEY=WPUPQTSVYB&amp;VAR:QUERY=RkZfRUJJVF9PUEVSX01HTihBTk4sMjAxMCk=&amp;WINDOW=FIRST_POPUP&amp;HEIGHT=450&amp;WIDTH=450&amp;START_MA","XIMIZED=FALSE&amp;VAR:CALENDAR=FIVEDAY&amp;VAR:SYMBOL=B58MYJ&amp;VAR:INDEX=0"}</definedName>
    <definedName name="_35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153"}</definedName>
    <definedName name="_350__FDSAUDITLINK__" hidden="1">{"fdsup://directions/FAT Viewer?action=UPDATE&amp;creator=factset&amp;DYN_ARGS=TRUE&amp;DOC_NAME=FAT:FQL_AUDITING_CLIENT_TEMPLATE.FAT&amp;display_string=Audit&amp;VAR:KEY=BYNWPYJQVO&amp;VAR:QUERY=RkZfTkVUX0lOQyhBTk4sMjAwOSwsLCxVU0Qp&amp;WINDOW=FIRST_POPUP&amp;HEIGHT=450&amp;WIDTH=450&amp;START_MA","XIMIZED=FALSE&amp;VAR:CALENDAR=FIVEDAY&amp;VAR:SYMBOL=490014&amp;VAR:INDEX=0"}</definedName>
    <definedName name="_35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152"}</definedName>
    <definedName name="_351__FDSAUDITLINK__" hidden="1">{"fdsup://directions/FAT Viewer?action=UPDATE&amp;creator=factset&amp;DYN_ARGS=TRUE&amp;DOC_NAME=FAT:FQL_AUDITING_CLIENT_TEMPLATE.FAT&amp;display_string=Audit&amp;VAR:KEY=JKJMTKLUPM&amp;VAR:QUERY=RkZfRUJJVERBX09QRVIoQU5OLDIwMTAsLCwsVVNEKQ==&amp;WINDOW=FIRST_POPUP&amp;HEIGHT=450&amp;WIDTH=450&amp;","START_MAXIMIZED=FALSE&amp;VAR:CALENDAR=FIVEDAY&amp;VAR:SYMBOL=464330&amp;VAR:INDEX=0"}</definedName>
    <definedName name="_35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151"}</definedName>
    <definedName name="_352__FDSAUDITLINK__" hidden="1">{"fdsup://directions/FAT Viewer?action=UPDATE&amp;creator=factset&amp;DYN_ARGS=TRUE&amp;DOC_NAME=FAT:FQL_AUDITING_CLIENT_TEMPLATE.FAT&amp;display_string=Audit&amp;VAR:KEY=HYHSLGZEJC&amp;VAR:QUERY=RkZfRUJJVERBX09QRVIoQU5OLDIwMDksLCwsVVNEKQ==&amp;WINDOW=FIRST_POPUP&amp;HEIGHT=450&amp;WIDTH=450&amp;","START_MAXIMIZED=FALSE&amp;VAR:CALENDAR=FIVEDAY&amp;VAR:SYMBOL=464330&amp;VAR:INDEX=0"}</definedName>
    <definedName name="_35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150"}</definedName>
    <definedName name="_353__FDSAUDITLINK__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150"}</definedName>
    <definedName name="_35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149"}</definedName>
    <definedName name="_354__FDSAUDITLINK__" hidden="1">{"fdsup://directions/FAT Viewer?action=UPDATE&amp;creator=factset&amp;DYN_ARGS=TRUE&amp;DOC_NAME=FAT:FQL_AUDITING_CLIENT_TEMPLATE.FAT&amp;display_string=Audit&amp;VAR:KEY=LOBCRQLUBK&amp;VAR:QUERY=RkZfRUJJVERBX09QRVIoQU5OLDIwMDksLCwsVVNEKQ==&amp;WINDOW=FIRST_POPUP&amp;HEIGHT=450&amp;WIDTH=450&amp;","START_MAXIMIZED=FALSE&amp;VAR:CALENDAR=FIVEDAY&amp;VAR:SYMBOL=561112&amp;VAR:INDEX=0"}</definedName>
    <definedName name="_35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148"}</definedName>
    <definedName name="_355__FDSAUDITLINK__" hidden="1">{"fdsup://directions/FAT Viewer?action=UPDATE&amp;creator=factset&amp;DYN_ARGS=TRUE&amp;DOC_NAME=FAT:FQL_AUDITING_CLIENT_TEMPLATE.FAT&amp;display_string=Audit&amp;VAR:KEY=HCBCTORQNO&amp;VAR:QUERY=RkZfRUJJVERBX09QRVIoQU5OLDIwMTAsLCwsVVNEKQ==&amp;WINDOW=FIRST_POPUP&amp;HEIGHT=450&amp;WIDTH=450&amp;","START_MAXIMIZED=FALSE&amp;VAR:CALENDAR=FIVEDAY&amp;VAR:SYMBOL=B1VP94&amp;VAR:INDEX=0"}</definedName>
    <definedName name="_35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147"}</definedName>
    <definedName name="_356__FDSAUDITLINK__" hidden="1">{"fdsup://directions/FAT Viewer?action=UPDATE&amp;creator=factset&amp;DYN_ARGS=TRUE&amp;DOC_NAME=FAT:FQL_AUDITING_CLIENT_TEMPLATE.FAT&amp;display_string=Audit&amp;VAR:KEY=JMJSNKPWFG&amp;VAR:QUERY=RkZfRUJJVERBX09QRVIoQU5OLDIwMDksLCwsVVNEKQ==&amp;WINDOW=FIRST_POPUP&amp;HEIGHT=450&amp;WIDTH=450&amp;","START_MAXIMIZED=FALSE&amp;VAR:CALENDAR=FIVEDAY&amp;VAR:SYMBOL=B1VP94&amp;VAR:INDEX=0"}</definedName>
    <definedName name="_35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146"}</definedName>
    <definedName name="_357__FDSAUDITLINK__" hidden="1">{"fdsup://directions/FAT Viewer?action=UPDATE&amp;creator=factset&amp;DYN_ARGS=TRUE&amp;DOC_NAME=FAT:FQL_AUDITING_CLIENT_TEMPLATE.FAT&amp;display_string=Audit&amp;VAR:KEY=HKBQNUFAJW&amp;VAR:QUERY=RkZfRUJJVERBX09QRVIoQU5OLDIwMTAsLCwsVVNEKQ==&amp;WINDOW=FIRST_POPUP&amp;HEIGHT=450&amp;WIDTH=450&amp;","START_MAXIMIZED=FALSE&amp;VAR:CALENDAR=FIVEDAY&amp;VAR:SYMBOL=758670&amp;VAR:INDEX=0"}</definedName>
    <definedName name="_35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145"}</definedName>
    <definedName name="_358__FDSAUDITLINK__" hidden="1">{"fdsup://directions/FAT Viewer?action=UPDATE&amp;creator=factset&amp;DYN_ARGS=TRUE&amp;DOC_NAME=FAT:FQL_AUDITING_CLIENT_TEMPLATE.FAT&amp;display_string=Audit&amp;VAR:KEY=VEXUVCRSHM&amp;VAR:QUERY=RkZfRUJJVERBX09QRVIoQU5OLDIwMDksLCwsVVNEKQ==&amp;WINDOW=FIRST_POPUP&amp;HEIGHT=450&amp;WIDTH=450&amp;","START_MAXIMIZED=FALSE&amp;VAR:CALENDAR=FIVEDAY&amp;VAR:SYMBOL=758670&amp;VAR:INDEX=0"}</definedName>
    <definedName name="_35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144"}</definedName>
    <definedName name="_359__FDSAUDITLINK__" hidden="1">{"fdsup://directions/FAT Viewer?action=UPDATE&amp;creator=factset&amp;DYN_ARGS=TRUE&amp;DOC_NAME=FAT:FQL_AUDITING_CLIENT_TEMPLATE.FAT&amp;display_string=Audit&amp;VAR:KEY=DGNWJALCTO&amp;VAR:QUERY=RkZfRUJJVERBX09QRVIoQU5OLDIwMTAsLCwsVVNEKQ==&amp;WINDOW=FIRST_POPUP&amp;HEIGHT=450&amp;WIDTH=450&amp;","START_MAXIMIZED=FALSE&amp;VAR:CALENDAR=FIVEDAY&amp;VAR:SYMBOL=568104&amp;VAR:INDEX=0"}</definedName>
    <definedName name="_36__123Graph_AGROWTH_9" hidden="1">#REF!</definedName>
    <definedName name="_36__123Graph_ECHART_5" hidden="1">#REF!</definedName>
    <definedName name="_36__123Graph_XCHART_12" hidden="1">#REF!</definedName>
    <definedName name="_36__123Graph_XChart_4" hidden="1">#REF!</definedName>
    <definedName name="_36__123Graph_XChart_5" hidden="1">#REF!</definedName>
    <definedName name="_36__FDSAUDITLINK__" localSheetId="0" hidden="1">{"fdsup://Directions/FactSet Auditing Viewer?action=AUDIT_VALUE&amp;DB=129&amp;ID1=692737&amp;VALUEID=01551&amp;SDATE=2009&amp;PERIODTYPE=ANN_STD&amp;window=popup_no_bar&amp;width=385&amp;height=120&amp;START_MAXIMIZED=FALSE&amp;creator=factset&amp;display_string=Audit"}</definedName>
    <definedName name="_36__FDSAUDITLINK__" hidden="1">{"fdsup://directions/FAT Viewer?action=UPDATE&amp;creator=factset&amp;DYN_ARGS=TRUE&amp;DOC_NAME=FAT:FQL_AUDITING_CLIENT_TEMPLATE.FAT&amp;display_string=Audit&amp;VAR:KEY=CZYNEHIVID&amp;VAR:QUERY=RkZfRUJJVF9PUEVSX01HTihBTk4sMjAwOSwsLCxVU0Qp&amp;WINDOW=FIRST_POPUP&amp;HEIGHT=450&amp;WIDTH=450&amp;","START_MAXIMIZED=FALSE&amp;VAR:CALENDAR=FIVEDAY&amp;VAR:SYMBOL=B58MYJ&amp;VAR:INDEX=0"}</definedName>
    <definedName name="_36_0__123Graph_ACHAR" hidden="1">#REF!</definedName>
    <definedName name="_36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143"}</definedName>
    <definedName name="_360__FDSAUDITLINK__" hidden="1">{"fdsup://directions/FAT Viewer?action=UPDATE&amp;creator=factset&amp;DYN_ARGS=TRUE&amp;DOC_NAME=FAT:FQL_AUDITING_CLIENT_TEMPLATE.FAT&amp;display_string=Audit&amp;VAR:KEY=ZMZIXSHSJY&amp;VAR:QUERY=RkZfRUJJVERBX09QRVIoQU5OLDIwMDksLCwsVVNEKQ==&amp;WINDOW=FIRST_POPUP&amp;HEIGHT=450&amp;WIDTH=450&amp;","START_MAXIMIZED=FALSE&amp;VAR:CALENDAR=FIVEDAY&amp;VAR:SYMBOL=568104&amp;VAR:INDEX=0"}</definedName>
    <definedName name="_36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142"}</definedName>
    <definedName name="_361__FDSAUDITLINK__" hidden="1">{"fdsup://directions/FAT Viewer?action=UPDATE&amp;creator=factset&amp;DYN_ARGS=TRUE&amp;DOC_NAME=FAT:FQL_AUDITING_CLIENT_TEMPLATE.FAT&amp;display_string=Audit&amp;VAR:KEY=FSDOHMFAHQ&amp;VAR:QUERY=RkZfRUJJVERBX09QRVIoQU5OLDIwMTAsLCwsVVNEKQ==&amp;WINDOW=FIRST_POPUP&amp;HEIGHT=450&amp;WIDTH=450&amp;","START_MAXIMIZED=FALSE&amp;VAR:CALENDAR=FIVEDAY&amp;VAR:SYMBOL=B1BFM5&amp;VAR:INDEX=0"}</definedName>
    <definedName name="_36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141"}</definedName>
    <definedName name="_362__FDSAUDITLINK__" hidden="1">{"fdsup://directions/FAT Viewer?action=UPDATE&amp;creator=factset&amp;DYN_ARGS=TRUE&amp;DOC_NAME=FAT:FQL_AUDITING_CLIENT_TEMPLATE.FAT&amp;display_string=Audit&amp;VAR:KEY=PCZEFWHYHK&amp;VAR:QUERY=RkZfRUJJVERBX09QRVIoQU5OLDIwMDksLCwsVVNEKQ==&amp;WINDOW=FIRST_POPUP&amp;HEIGHT=450&amp;WIDTH=450&amp;","START_MAXIMIZED=FALSE&amp;VAR:CALENDAR=FIVEDAY&amp;VAR:SYMBOL=B1BFM5&amp;VAR:INDEX=0"}</definedName>
    <definedName name="_36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140"}</definedName>
    <definedName name="_363__FDSAUDITLINK__" hidden="1">{"fdsup://directions/FAT Viewer?action=UPDATE&amp;creator=factset&amp;DYN_ARGS=TRUE&amp;DOC_NAME=FAT:FQL_AUDITING_CLIENT_TEMPLATE.FAT&amp;display_string=Audit&amp;VAR:KEY=HUFORCLWZU&amp;VAR:QUERY=RkZfRUJJVERBX09QRVIoQU5OLDIwMTAsLCwsVVNEKQ==&amp;WINDOW=FIRST_POPUP&amp;HEIGHT=450&amp;WIDTH=450&amp;","START_MAXIMIZED=FALSE&amp;VAR:CALENDAR=FIVEDAY&amp;VAR:SYMBOL=580813&amp;VAR:INDEX=0"}</definedName>
    <definedName name="_36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139"}</definedName>
    <definedName name="_364__FDSAUDITLINK__" hidden="1">{"fdsup://directions/FAT Viewer?action=UPDATE&amp;creator=factset&amp;DYN_ARGS=TRUE&amp;DOC_NAME=FAT:FQL_AUDITING_CLIENT_TEMPLATE.FAT&amp;display_string=Audit&amp;VAR:KEY=PUDKXWPMFO&amp;VAR:QUERY=RkZfRUJJVERBX09QRVIoQU5OLDIwMDksLCwsVVNEKQ==&amp;WINDOW=FIRST_POPUP&amp;HEIGHT=450&amp;WIDTH=450&amp;","START_MAXIMIZED=FALSE&amp;VAR:CALENDAR=FIVEDAY&amp;VAR:SYMBOL=580813&amp;VAR:INDEX=0"}</definedName>
    <definedName name="_36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138"}</definedName>
    <definedName name="_365__FDSAUDITLINK__" hidden="1">{"fdsup://directions/FAT Viewer?action=UPDATE&amp;creator=factset&amp;DYN_ARGS=TRUE&amp;DOC_NAME=FAT:FQL_AUDITING_CLIENT_TEMPLATE.FAT&amp;display_string=Audit&amp;VAR:KEY=RYJEFOPOVI&amp;VAR:QUERY=RkZfRUJJVERBX09QRVIoQU5OLDIwMTAsLCwsVVNEKQ==&amp;WINDOW=FIRST_POPUP&amp;HEIGHT=450&amp;WIDTH=450&amp;","START_MAXIMIZED=FALSE&amp;VAR:CALENDAR=FIVEDAY&amp;VAR:SYMBOL=B0XP0T&amp;VAR:INDEX=0"}</definedName>
    <definedName name="_36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137"}</definedName>
    <definedName name="_366__FDSAUDITLINK__" hidden="1">{"fdsup://directions/FAT Viewer?action=UPDATE&amp;creator=factset&amp;DYN_ARGS=TRUE&amp;DOC_NAME=FAT:FQL_AUDITING_CLIENT_TEMPLATE.FAT&amp;display_string=Audit&amp;VAR:KEY=LYPGLGLAHA&amp;VAR:QUERY=RkZfRUJJVERBX09QRVIoQU5OLDIwMDksLCwsVVNEKQ==&amp;WINDOW=FIRST_POPUP&amp;HEIGHT=450&amp;WIDTH=450&amp;","START_MAXIMIZED=FALSE&amp;VAR:CALENDAR=FIVEDAY&amp;VAR:SYMBOL=B0XP0T&amp;VAR:INDEX=0"}</definedName>
    <definedName name="_36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136"}</definedName>
    <definedName name="_367__FDSAUDITLINK__" hidden="1">{"fdsup://directions/FAT Viewer?action=UPDATE&amp;creator=factset&amp;DYN_ARGS=TRUE&amp;DOC_NAME=FAT:FQL_AUDITING_CLIENT_TEMPLATE.FAT&amp;display_string=Audit&amp;VAR:KEY=TSPIDMLANY&amp;VAR:QUERY=RkZfRUJJVERBX09QRVIoQU5OLDIwMTAsLCwsVVNEKQ==&amp;WINDOW=FIRST_POPUP&amp;HEIGHT=450&amp;WIDTH=450&amp;","START_MAXIMIZED=FALSE&amp;VAR:CALENDAR=FIVEDAY&amp;VAR:SYMBOL=318094&amp;VAR:INDEX=0"}</definedName>
    <definedName name="_36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135"}</definedName>
    <definedName name="_368__FDSAUDITLINK__" hidden="1">{"fdsup://directions/FAT Viewer?action=UPDATE&amp;creator=factset&amp;DYN_ARGS=TRUE&amp;DOC_NAME=FAT:FQL_AUDITING_CLIENT_TEMPLATE.FAT&amp;display_string=Audit&amp;VAR:KEY=JKXINUVENA&amp;VAR:QUERY=RkZfRUJJVERBX09QRVIoQU5OLDIwMDksLCwsVVNEKQ==&amp;WINDOW=FIRST_POPUP&amp;HEIGHT=450&amp;WIDTH=450&amp;","START_MAXIMIZED=FALSE&amp;VAR:CALENDAR=FIVEDAY&amp;VAR:SYMBOL=318094&amp;VAR:INDEX=0"}</definedName>
    <definedName name="_36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134"}</definedName>
    <definedName name="_369__FDSAUDITLINK__" hidden="1">{"fdsup://directions/FAT Viewer?action=UPDATE&amp;creator=factset&amp;DYN_ARGS=TRUE&amp;DOC_NAME=FAT:FQL_AUDITING_CLIENT_TEMPLATE.FAT&amp;display_string=Audit&amp;VAR:KEY=FMNGLQHCVQ&amp;VAR:QUERY=RkZfRUJJVERBX09QRVIoQU5OLDIwMTAsLCwsVVNEKQ==&amp;WINDOW=FIRST_POPUP&amp;HEIGHT=450&amp;WIDTH=450&amp;","START_MAXIMIZED=FALSE&amp;VAR:CALENDAR=FIVEDAY&amp;VAR:SYMBOL=B01FLL&amp;VAR:INDEX=0"}</definedName>
    <definedName name="_37__123Graph_B_Chart_1A" hidden="1">#REF!</definedName>
    <definedName name="_37__123Graph_XCHART_13" hidden="1">#REF!</definedName>
    <definedName name="_37__123Graph_XChart_5" hidden="1">#REF!</definedName>
    <definedName name="_37__123Graph_XChart_6" hidden="1">#REF!</definedName>
    <definedName name="_37__FDSAUDITLINK__" localSheetId="0" hidden="1">{"fdsup://Directions/FactSet Auditing Viewer?action=AUDIT_VALUE&amp;DB=129&amp;ID1=692737&amp;VALUEID=01551&amp;SDATE=2008&amp;PERIODTYPE=ANN_STD&amp;window=popup_no_bar&amp;width=385&amp;height=120&amp;START_MAXIMIZED=FALSE&amp;creator=factset&amp;display_string=Audit"}</definedName>
    <definedName name="_37__FDSAUDITLINK__" hidden="1">{"fdsup://directions/FAT Viewer?action=UPDATE&amp;creator=factset&amp;DYN_ARGS=TRUE&amp;DOC_NAME=FAT:FQL_AUDITING_CLIENT_TEMPLATE.FAT&amp;display_string=Audit&amp;VAR:KEY=WDSREBELWN&amp;VAR:QUERY=RkZfRUJJVF9PUEVSX01HTihBTk4sMjAxMCk=&amp;WINDOW=FIRST_POPUP&amp;HEIGHT=450&amp;WIDTH=450&amp;START_MA","XIMIZED=FALSE&amp;VAR:CALENDAR=FIVEDAY&amp;VAR:SYMBOL=B1VZKH&amp;VAR:INDEX=0"}</definedName>
    <definedName name="_37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133"}</definedName>
    <definedName name="_370__FDSAUDITLINK__" hidden="1">{"fdsup://directions/FAT Viewer?action=UPDATE&amp;creator=factset&amp;DYN_ARGS=TRUE&amp;DOC_NAME=FAT:FQL_AUDITING_CLIENT_TEMPLATE.FAT&amp;display_string=Audit&amp;VAR:KEY=ROHWPSDGBQ&amp;VAR:QUERY=RkZfRUJJVERBX09QRVIoQU5OLDIwMDksLCwsVVNEKQ==&amp;WINDOW=FIRST_POPUP&amp;HEIGHT=450&amp;WIDTH=450&amp;","START_MAXIMIZED=FALSE&amp;VAR:CALENDAR=FIVEDAY&amp;VAR:SYMBOL=B01FLL&amp;VAR:INDEX=0"}</definedName>
    <definedName name="_37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132"}</definedName>
    <definedName name="_371__FDSAUDITLINK__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132"}</definedName>
    <definedName name="_37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131"}</definedName>
    <definedName name="_372__FDSAUDITLINK__" hidden="1">{"fdsup://directions/FAT Viewer?action=UPDATE&amp;creator=factset&amp;DYN_ARGS=TRUE&amp;DOC_NAME=FAT:FQL_AUDITING_CLIENT_TEMPLATE.FAT&amp;display_string=Audit&amp;VAR:KEY=ZAXYJAZAHI&amp;VAR:QUERY=RkZfRUJJVERBX09QRVIoQU5OLDIwMDksLCwsVVNEKQ==&amp;WINDOW=FIRST_POPUP&amp;HEIGHT=450&amp;WIDTH=450&amp;","START_MAXIMIZED=FALSE&amp;VAR:CALENDAR=FIVEDAY&amp;VAR:SYMBOL=417798&amp;VAR:INDEX=0"}</definedName>
    <definedName name="_37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130"}</definedName>
    <definedName name="_373__FDSAUDITLINK__" hidden="1">{"fdsup://directions/FAT Viewer?action=UPDATE&amp;creator=factset&amp;DYN_ARGS=TRUE&amp;DOC_NAME=FAT:FQL_AUDITING_CLIENT_TEMPLATE.FAT&amp;display_string=Audit&amp;VAR:KEY=DIHWFQVMTU&amp;VAR:QUERY=RkZfRUJJVERBX09QRVIoQU5OLDIwMTAsLCwsVVNEKQ==&amp;WINDOW=FIRST_POPUP&amp;HEIGHT=450&amp;WIDTH=450&amp;","START_MAXIMIZED=FALSE&amp;VAR:CALENDAR=FIVEDAY&amp;VAR:SYMBOL=490014&amp;VAR:INDEX=0"}</definedName>
    <definedName name="_37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129"}</definedName>
    <definedName name="_374__FDSAUDITLINK__" hidden="1">{"fdsup://directions/FAT Viewer?action=UPDATE&amp;creator=factset&amp;DYN_ARGS=TRUE&amp;DOC_NAME=FAT:FQL_AUDITING_CLIENT_TEMPLATE.FAT&amp;display_string=Audit&amp;VAR:KEY=PGNYJINWNK&amp;VAR:QUERY=RkZfRUJJVERBX09QRVIoQU5OLDIwMDksLCwsVVNEKQ==&amp;WINDOW=FIRST_POPUP&amp;HEIGHT=450&amp;WIDTH=450&amp;","START_MAXIMIZED=FALSE&amp;VAR:CALENDAR=FIVEDAY&amp;VAR:SYMBOL=490014&amp;VAR:INDEX=0"}</definedName>
    <definedName name="_37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128"}</definedName>
    <definedName name="_375__FDSAUDITLINK__" hidden="1">{"fdsup://directions/FAT Viewer?action=UPDATE&amp;creator=factset&amp;DYN_ARGS=TRUE&amp;DOC_NAME=FAT:FQL_AUDITING_CLIENT_TEMPLATE.FAT&amp;display_string=Audit&amp;VAR:KEY=XUBAZMRMPG&amp;VAR:QUERY=RkZfRUJJVF9PUEVSKEFOTiwyMDEwLCwsLFVTRCk=&amp;WINDOW=FIRST_POPUP&amp;HEIGHT=450&amp;WIDTH=450&amp;STAR","T_MAXIMIZED=FALSE&amp;VAR:CALENDAR=FIVEDAY&amp;VAR:SYMBOL=464330&amp;VAR:INDEX=0"}</definedName>
    <definedName name="_37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127"}</definedName>
    <definedName name="_376__FDSAUDITLINK__" hidden="1">{"fdsup://directions/FAT Viewer?action=UPDATE&amp;creator=factset&amp;DYN_ARGS=TRUE&amp;DOC_NAME=FAT:FQL_AUDITING_CLIENT_TEMPLATE.FAT&amp;display_string=Audit&amp;VAR:KEY=VOZAFULGZY&amp;VAR:QUERY=RkZfRUJJVF9PUEVSKEFOTiwyMDA5LCwsLFVTRCk=&amp;WINDOW=FIRST_POPUP&amp;HEIGHT=450&amp;WIDTH=450&amp;STAR","T_MAXIMIZED=FALSE&amp;VAR:CALENDAR=FIVEDAY&amp;VAR:SYMBOL=464330&amp;VAR:INDEX=0"}</definedName>
    <definedName name="_37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126"}</definedName>
    <definedName name="_377__FDSAUDITLINK__" hidden="1">{"fdsup://directions/FAT Viewer?action=UPDATE&amp;creator=factset&amp;DYN_ARGS=TRUE&amp;DOC_NAME=FAT:FQL_AUDITING_CLIENT_TEMPLATE.FAT&amp;display_string=Audit&amp;VAR:KEY=HSXUVGBQBY&amp;VAR:QUERY=RkZfRUJJVF9PUEVSKEFOTiwyMDEwLCwsLFVTRCk=&amp;WINDOW=FIRST_POPUP&amp;HEIGHT=450&amp;WIDTH=450&amp;STAR","T_MAXIMIZED=FALSE&amp;VAR:CALENDAR=FIVEDAY&amp;VAR:SYMBOL=561112&amp;VAR:INDEX=0"}</definedName>
    <definedName name="_37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125"}</definedName>
    <definedName name="_378__FDSAUDITLINK__" hidden="1">{"fdsup://directions/FAT Viewer?action=UPDATE&amp;creator=factset&amp;DYN_ARGS=TRUE&amp;DOC_NAME=FAT:FQL_AUDITING_CLIENT_TEMPLATE.FAT&amp;display_string=Audit&amp;VAR:KEY=RGNCRCFCLQ&amp;VAR:QUERY=RkZfRUJJVF9PUEVSKEFOTiwyMDA5LCwsLFVTRCk=&amp;WINDOW=FIRST_POPUP&amp;HEIGHT=450&amp;WIDTH=450&amp;STAR","T_MAXIMIZED=FALSE&amp;VAR:CALENDAR=FIVEDAY&amp;VAR:SYMBOL=561112&amp;VAR:INDEX=0"}</definedName>
    <definedName name="_37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124"}</definedName>
    <definedName name="_379__FDSAUDITLINK__" hidden="1">{"fdsup://directions/FAT Viewer?action=UPDATE&amp;creator=factset&amp;DYN_ARGS=TRUE&amp;DOC_NAME=FAT:FQL_AUDITING_CLIENT_TEMPLATE.FAT&amp;display_string=Audit&amp;VAR:KEY=HKNCRIXEDY&amp;VAR:QUERY=RkZfRUJJVF9PUEVSKEFOTiwyMDEwLCwsLFVTRCk=&amp;WINDOW=FIRST_POPUP&amp;HEIGHT=450&amp;WIDTH=450&amp;STAR","T_MAXIMIZED=FALSE&amp;VAR:CALENDAR=FIVEDAY&amp;VAR:SYMBOL=B1VP94&amp;VAR:INDEX=0"}</definedName>
    <definedName name="_37f5_" hidden="1">#REF!</definedName>
    <definedName name="_38__123Graph_BGROWTH_9" hidden="1">#REF!</definedName>
    <definedName name="_38__123Graph_LBL_ACHART_14" hidden="1">#REF!</definedName>
    <definedName name="_38__123Graph_XCHART_14" hidden="1">#REF!</definedName>
    <definedName name="_38__123Graph_XChart_6" hidden="1">#REF!</definedName>
    <definedName name="_38__FDSAUDITLINK__" localSheetId="0" hidden="1">{"fdsup://Directions/FactSet Auditing Viewer?action=AUDIT_VALUE&amp;DB=129&amp;ID1=692737&amp;VALUEID=01551&amp;SDATE=2007&amp;PERIODTYPE=ANN_STD&amp;window=popup_no_bar&amp;width=385&amp;height=120&amp;START_MAXIMIZED=FALSE&amp;creator=factset&amp;display_string=Audit"}</definedName>
    <definedName name="_38__FDSAUDITLINK__" hidden="1">{"fdsup://directions/FAT Viewer?action=UPDATE&amp;creator=factset&amp;DYN_ARGS=TRUE&amp;DOC_NAME=FAT:FQL_AUDITING_CLIENT_TEMPLATE.FAT&amp;display_string=Audit&amp;VAR:KEY=SZGJQZYVYL&amp;VAR:QUERY=RkZfRUJJVF9PUEVSX01HTihBTk4sMjAwOSwsLCxVU0Qp&amp;WINDOW=FIRST_POPUP&amp;HEIGHT=450&amp;WIDTH=450&amp;","START_MAXIMIZED=FALSE&amp;VAR:CALENDAR=FIVEDAY&amp;VAR:SYMBOL=B1VZKH&amp;VAR:INDEX=0"}</definedName>
    <definedName name="_38_0__123Graph_BCHAR" hidden="1">#REF!</definedName>
    <definedName name="_38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123"}</definedName>
    <definedName name="_380__FDSAUDITLINK__" hidden="1">{"fdsup://directions/FAT Viewer?action=UPDATE&amp;creator=factset&amp;DYN_ARGS=TRUE&amp;DOC_NAME=FAT:FQL_AUDITING_CLIENT_TEMPLATE.FAT&amp;display_string=Audit&amp;VAR:KEY=ZGFABSLEBY&amp;VAR:QUERY=RkZfRUJJVF9PUEVSKEFOTiwyMDA5LCwsLFVTRCk=&amp;WINDOW=FIRST_POPUP&amp;HEIGHT=450&amp;WIDTH=450&amp;STAR","T_MAXIMIZED=FALSE&amp;VAR:CALENDAR=FIVEDAY&amp;VAR:SYMBOL=B1VP94&amp;VAR:INDEX=0"}</definedName>
    <definedName name="_38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122"}</definedName>
    <definedName name="_381__FDSAUDITLINK__" hidden="1">{"fdsup://directions/FAT Viewer?action=UPDATE&amp;creator=factset&amp;DYN_ARGS=TRUE&amp;DOC_NAME=FAT:FQL_AUDITING_CLIENT_TEMPLATE.FAT&amp;display_string=Audit&amp;VAR:KEY=ZCZONIFQDK&amp;VAR:QUERY=RkZfRUJJVF9PUEVSKEFOTiwyMDEwLCwsLFVTRCk=&amp;WINDOW=FIRST_POPUP&amp;HEIGHT=450&amp;WIDTH=450&amp;STAR","T_MAXIMIZED=FALSE&amp;VAR:CALENDAR=FIVEDAY&amp;VAR:SYMBOL=758670&amp;VAR:INDEX=0"}</definedName>
    <definedName name="_38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121"}</definedName>
    <definedName name="_382__FDSAUDITLINK__" hidden="1">{"fdsup://directions/FAT Viewer?action=UPDATE&amp;creator=factset&amp;DYN_ARGS=TRUE&amp;DOC_NAME=FAT:FQL_AUDITING_CLIENT_TEMPLATE.FAT&amp;display_string=Audit&amp;VAR:KEY=TCBEDETQRY&amp;VAR:QUERY=RkZfRUJJVF9PUEVSKEFOTiwyMDA5LCwsLFVTRCk=&amp;WINDOW=FIRST_POPUP&amp;HEIGHT=450&amp;WIDTH=450&amp;STAR","T_MAXIMIZED=FALSE&amp;VAR:CALENDAR=FIVEDAY&amp;VAR:SYMBOL=758670&amp;VAR:INDEX=0"}</definedName>
    <definedName name="_38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120"}</definedName>
    <definedName name="_383__FDSAUDITLINK__" hidden="1">{"fdsup://directions/FAT Viewer?action=UPDATE&amp;creator=factset&amp;DYN_ARGS=TRUE&amp;DOC_NAME=FAT:FQL_AUDITING_CLIENT_TEMPLATE.FAT&amp;display_string=Audit&amp;VAR:KEY=LIHGLWDYBI&amp;VAR:QUERY=RkZfRUJJVF9PUEVSKEFOTiwyMDEwLCwsLFVTRCk=&amp;WINDOW=FIRST_POPUP&amp;HEIGHT=450&amp;WIDTH=450&amp;STAR","T_MAXIMIZED=FALSE&amp;VAR:CALENDAR=FIVEDAY&amp;VAR:SYMBOL=568104&amp;VAR:INDEX=0"}</definedName>
    <definedName name="_38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119"}</definedName>
    <definedName name="_384__FDSAUDITLINK__" hidden="1">{"fdsup://directions/FAT Viewer?action=UPDATE&amp;creator=factset&amp;DYN_ARGS=TRUE&amp;DOC_NAME=FAT:FQL_AUDITING_CLIENT_TEMPLATE.FAT&amp;display_string=Audit&amp;VAR:KEY=ZCPQBONYVW&amp;VAR:QUERY=RkZfRUJJVF9PUEVSKEFOTiwyMDA5LCwsLFVTRCk=&amp;WINDOW=FIRST_POPUP&amp;HEIGHT=450&amp;WIDTH=450&amp;STAR","T_MAXIMIZED=FALSE&amp;VAR:CALENDAR=FIVEDAY&amp;VAR:SYMBOL=568104&amp;VAR:INDEX=0"}</definedName>
    <definedName name="_38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118"}</definedName>
    <definedName name="_385__FDSAUDITLINK__" hidden="1">{"fdsup://directions/FAT Viewer?action=UPDATE&amp;creator=factset&amp;DYN_ARGS=TRUE&amp;DOC_NAME=FAT:FQL_AUDITING_CLIENT_TEMPLATE.FAT&amp;display_string=Audit&amp;VAR:KEY=PCXAREDKRC&amp;VAR:QUERY=RkZfRUJJVF9PUEVSKEFOTiwyMDEwLCwsLFVTRCk=&amp;WINDOW=FIRST_POPUP&amp;HEIGHT=450&amp;WIDTH=450&amp;STAR","T_MAXIMIZED=FALSE&amp;VAR:CALENDAR=FIVEDAY&amp;VAR:SYMBOL=B1BFM5&amp;VAR:INDEX=0"}</definedName>
    <definedName name="_38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117"}</definedName>
    <definedName name="_386__FDSAUDITLINK__" hidden="1">{"fdsup://directions/FAT Viewer?action=UPDATE&amp;creator=factset&amp;DYN_ARGS=TRUE&amp;DOC_NAME=FAT:FQL_AUDITING_CLIENT_TEMPLATE.FAT&amp;display_string=Audit&amp;VAR:KEY=FOHYTWRMXC&amp;VAR:QUERY=RkZfRUJJVF9PUEVSKEFOTiwyMDA5LCwsLFVTRCk=&amp;WINDOW=FIRST_POPUP&amp;HEIGHT=450&amp;WIDTH=450&amp;STAR","T_MAXIMIZED=FALSE&amp;VAR:CALENDAR=FIVEDAY&amp;VAR:SYMBOL=B1BFM5&amp;VAR:INDEX=0"}</definedName>
    <definedName name="_38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116"}</definedName>
    <definedName name="_387__FDSAUDITLINK__" hidden="1">{"fdsup://directions/FAT Viewer?action=UPDATE&amp;creator=factset&amp;DYN_ARGS=TRUE&amp;DOC_NAME=FAT:FQL_AUDITING_CLIENT_TEMPLATE.FAT&amp;display_string=Audit&amp;VAR:KEY=TIHWDSBIXA&amp;VAR:QUERY=RkZfRUJJVF9PUEVSKEFOTiwyMDEwLCwsLFVTRCk=&amp;WINDOW=FIRST_POPUP&amp;HEIGHT=450&amp;WIDTH=450&amp;STAR","T_MAXIMIZED=FALSE&amp;VAR:CALENDAR=FIVEDAY&amp;VAR:SYMBOL=580813&amp;VAR:INDEX=0"}</definedName>
    <definedName name="_38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115"}</definedName>
    <definedName name="_388__FDSAUDITLINK__" hidden="1">{"fdsup://directions/FAT Viewer?action=UPDATE&amp;creator=factset&amp;DYN_ARGS=TRUE&amp;DOC_NAME=FAT:FQL_AUDITING_CLIENT_TEMPLATE.FAT&amp;display_string=Audit&amp;VAR:KEY=FWZSJMBUTC&amp;VAR:QUERY=RkZfRUJJVF9PUEVSKEFOTiwyMDA5LCwsLFVTRCk=&amp;WINDOW=FIRST_POPUP&amp;HEIGHT=450&amp;WIDTH=450&amp;STAR","T_MAXIMIZED=FALSE&amp;VAR:CALENDAR=FIVEDAY&amp;VAR:SYMBOL=580813&amp;VAR:INDEX=0"}</definedName>
    <definedName name="_38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114"}</definedName>
    <definedName name="_389__FDSAUDITLINK__" hidden="1">{"fdsup://directions/FAT Viewer?action=UPDATE&amp;creator=factset&amp;DYN_ARGS=TRUE&amp;DOC_NAME=FAT:FQL_AUDITING_CLIENT_TEMPLATE.FAT&amp;display_string=Audit&amp;VAR:KEY=LAZURGDMXE&amp;VAR:QUERY=RkZfRUJJVF9PUEVSKEFOTiwyMDEwLCwsLFVTRCk=&amp;WINDOW=FIRST_POPUP&amp;HEIGHT=450&amp;WIDTH=450&amp;STAR","T_MAXIMIZED=FALSE&amp;VAR:CALENDAR=FIVEDAY&amp;VAR:SYMBOL=B0XP0T&amp;VAR:INDEX=0"}</definedName>
    <definedName name="_38Y5_" localSheetId="0" hidden="1">{#N/A,#N/A,FALSE,"970301";#N/A,#N/A,FALSE,"970302";#N/A,#N/A,FALSE,"970303";#N/A,#N/A,FALSE,"970304";#N/A,#N/A,FALSE,"COM1";#N/A,#N/A,FALSE,"COM2"}</definedName>
    <definedName name="_38Y5_" hidden="1">{#N/A,#N/A,FALSE,"970301";#N/A,#N/A,FALSE,"970302";#N/A,#N/A,FALSE,"970303";#N/A,#N/A,FALSE,"970304";#N/A,#N/A,FALSE,"COM1";#N/A,#N/A,FALSE,"COM2"}</definedName>
    <definedName name="_39__123Graph_C_Chart_1A" hidden="1">#REF!</definedName>
    <definedName name="_39__123Graph_DCHART_1" hidden="1">#REF!</definedName>
    <definedName name="_39__123Graph_LBL_ACHART_19" hidden="1">#REF!</definedName>
    <definedName name="_39__123Graph_XCHART_15" hidden="1">#REF!</definedName>
    <definedName name="_39__FDSAUDITLINK__" localSheetId="0" hidden="1">{"fdsup://Directions/FactSet Auditing Viewer?action=AUDIT_VALUE&amp;DB=129&amp;ID1=692737&amp;VALUEID=01001&amp;SDATE=2009&amp;PERIODTYPE=ANN_STD&amp;window=popup_no_bar&amp;width=385&amp;height=120&amp;START_MAXIMIZED=FALSE&amp;creator=factset&amp;display_string=Audit"}</definedName>
    <definedName name="_39__FDSAUDITLINK__" hidden="1">{"fdsup://directions/FAT Viewer?action=UPDATE&amp;creator=factset&amp;DYN_ARGS=TRUE&amp;DOC_NAME=FAT:FQL_AUDITING_CLIENT_TEMPLATE.FAT&amp;display_string=Audit&amp;VAR:KEY=YVULEBGNGZ&amp;VAR:QUERY=RkZfRUJJVF9PUEVSX01HTihBTk4sMjAxMCk=&amp;WINDOW=FIRST_POPUP&amp;HEIGHT=450&amp;WIDTH=450&amp;START_MA","XIMIZED=FALSE&amp;VAR:CALENDAR=FIVEDAY&amp;VAR:SYMBOL=B0D5V5&amp;VAR:INDEX=0"}</definedName>
    <definedName name="_39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113"}</definedName>
    <definedName name="_390__FDSAUDITLINK__" hidden="1">{"fdsup://directions/FAT Viewer?action=UPDATE&amp;creator=factset&amp;DYN_ARGS=TRUE&amp;DOC_NAME=FAT:FQL_AUDITING_CLIENT_TEMPLATE.FAT&amp;display_string=Audit&amp;VAR:KEY=HWVWLONOJA&amp;VAR:QUERY=RkZfRUJJVF9PUEVSKEFOTiwyMDA5LCwsLFVTRCk=&amp;WINDOW=FIRST_POPUP&amp;HEIGHT=450&amp;WIDTH=450&amp;STAR","T_MAXIMIZED=FALSE&amp;VAR:CALENDAR=FIVEDAY&amp;VAR:SYMBOL=B0XP0T&amp;VAR:INDEX=0"}</definedName>
    <definedName name="_39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112"}</definedName>
    <definedName name="_391__FDSAUDITLINK__" hidden="1">{"fdsup://directions/FAT Viewer?action=UPDATE&amp;creator=factset&amp;DYN_ARGS=TRUE&amp;DOC_NAME=FAT:FQL_AUDITING_CLIENT_TEMPLATE.FAT&amp;display_string=Audit&amp;VAR:KEY=HCVMRYLALM&amp;VAR:QUERY=RkZfRUJJVF9PUEVSKEFOTiwyMDEwLCwsLFVTRCk=&amp;WINDOW=FIRST_POPUP&amp;HEIGHT=450&amp;WIDTH=450&amp;STAR","T_MAXIMIZED=FALSE&amp;VAR:CALENDAR=FIVEDAY&amp;VAR:SYMBOL=318094&amp;VAR:INDEX=0"}</definedName>
    <definedName name="_39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111"}</definedName>
    <definedName name="_392__FDSAUDITLINK__" hidden="1">{"fdsup://directions/FAT Viewer?action=UPDATE&amp;creator=factset&amp;DYN_ARGS=TRUE&amp;DOC_NAME=FAT:FQL_AUDITING_CLIENT_TEMPLATE.FAT&amp;display_string=Audit&amp;VAR:KEY=ZWDUXQDYHE&amp;VAR:QUERY=RkZfRUJJVF9PUEVSKEFOTiwyMDA5LCwsLFVTRCk=&amp;WINDOW=FIRST_POPUP&amp;HEIGHT=450&amp;WIDTH=450&amp;STAR","T_MAXIMIZED=FALSE&amp;VAR:CALENDAR=FIVEDAY&amp;VAR:SYMBOL=318094&amp;VAR:INDEX=0"}</definedName>
    <definedName name="_39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110"}</definedName>
    <definedName name="_393__FDSAUDITLINK__" hidden="1">{"fdsup://directions/FAT Viewer?action=UPDATE&amp;creator=factset&amp;DYN_ARGS=TRUE&amp;DOC_NAME=FAT:FQL_AUDITING_CLIENT_TEMPLATE.FAT&amp;display_string=Audit&amp;VAR:KEY=DGDSHWHSVE&amp;VAR:QUERY=RkZfRUJJVF9PUEVSKEFOTiwyMDEwLCwsLFVTRCk=&amp;WINDOW=FIRST_POPUP&amp;HEIGHT=450&amp;WIDTH=450&amp;STAR","T_MAXIMIZED=FALSE&amp;VAR:CALENDAR=FIVEDAY&amp;VAR:SYMBOL=B01FLL&amp;VAR:INDEX=0"}</definedName>
    <definedName name="_39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109"}</definedName>
    <definedName name="_394__FDSAUDITLINK__" hidden="1">{"fdsup://directions/FAT Viewer?action=UPDATE&amp;creator=factset&amp;DYN_ARGS=TRUE&amp;DOC_NAME=FAT:FQL_AUDITING_CLIENT_TEMPLATE.FAT&amp;display_string=Audit&amp;VAR:KEY=HEJKTQPWRM&amp;VAR:QUERY=RkZfRUJJVF9PUEVSKEFOTiwyMDA5LCwsLFVTRCk=&amp;WINDOW=FIRST_POPUP&amp;HEIGHT=450&amp;WIDTH=450&amp;STAR","T_MAXIMIZED=FALSE&amp;VAR:CALENDAR=FIVEDAY&amp;VAR:SYMBOL=B01FLL&amp;VAR:INDEX=0"}</definedName>
    <definedName name="_39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108"}</definedName>
    <definedName name="_395__FDSAUDITLINK__" hidden="1">{"fdsup://directions/FAT Viewer?action=UPDATE&amp;creator=factset&amp;DYN_ARGS=TRUE&amp;DOC_NAME=FAT:FQL_AUDITING_CLIENT_TEMPLATE.FAT&amp;display_string=Audit&amp;VAR:KEY=PWJOXKFYZK&amp;VAR:QUERY=RkZfRUJJVF9PUEVSKEFOTiwyMDEwLCwsLFVTRCk=&amp;WINDOW=FIRST_POPUP&amp;HEIGHT=450&amp;WIDTH=450&amp;STAR","T_MAXIMIZED=FALSE&amp;VAR:CALENDAR=FIVEDAY&amp;VAR:SYMBOL=417798&amp;VAR:INDEX=0"}</definedName>
    <definedName name="_39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107"}</definedName>
    <definedName name="_396__FDSAUDITLINK__" hidden="1">{"fdsup://directions/FAT Viewer?action=UPDATE&amp;creator=factset&amp;DYN_ARGS=TRUE&amp;DOC_NAME=FAT:FQL_AUDITING_CLIENT_TEMPLATE.FAT&amp;display_string=Audit&amp;VAR:KEY=LUPCZGBOPW&amp;VAR:QUERY=RkZfRUJJVF9PUEVSKEFOTiwyMDA5LCwsLFVTRCk=&amp;WINDOW=FIRST_POPUP&amp;HEIGHT=450&amp;WIDTH=450&amp;STAR","T_MAXIMIZED=FALSE&amp;VAR:CALENDAR=FIVEDAY&amp;VAR:SYMBOL=417798&amp;VAR:INDEX=0"}</definedName>
    <definedName name="_39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106"}</definedName>
    <definedName name="_397__FDSAUDITLINK__" hidden="1">{"fdsup://directions/FAT Viewer?action=UPDATE&amp;creator=factset&amp;DYN_ARGS=TRUE&amp;DOC_NAME=FAT:FQL_AUDITING_CLIENT_TEMPLATE.FAT&amp;display_string=Audit&amp;VAR:KEY=DYLYREXATU&amp;VAR:QUERY=RkZfRUJJVF9PUEVSKEFOTiwyMDEwLCwsLFVTRCk=&amp;WINDOW=FIRST_POPUP&amp;HEIGHT=450&amp;WIDTH=450&amp;STAR","T_MAXIMIZED=FALSE&amp;VAR:CALENDAR=FIVEDAY&amp;VAR:SYMBOL=490014&amp;VAR:INDEX=0"}</definedName>
    <definedName name="_39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105"}</definedName>
    <definedName name="_398__FDSAUDITLINK__" hidden="1">{"fdsup://directions/FAT Viewer?action=UPDATE&amp;creator=factset&amp;DYN_ARGS=TRUE&amp;DOC_NAME=FAT:FQL_AUDITING_CLIENT_TEMPLATE.FAT&amp;display_string=Audit&amp;VAR:KEY=DUZKRYZCZY&amp;VAR:QUERY=RkZfRUJJVF9PUEVSKEFOTiwyMDA5LCwsLFVTRCk=&amp;WINDOW=FIRST_POPUP&amp;HEIGHT=450&amp;WIDTH=450&amp;STAR","T_MAXIMIZED=FALSE&amp;VAR:CALENDAR=FIVEDAY&amp;VAR:SYMBOL=490014&amp;VAR:INDEX=0"}</definedName>
    <definedName name="_39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104"}</definedName>
    <definedName name="_399__FDSAUDITLINK__" hidden="1">{"fdsup://Directions/FactSet Auditing Viewer?action=AUDIT_VALUE&amp;DB=129&amp;ID1=561112&amp;VALUEID=01001&amp;SDATE=2010&amp;PERIODTYPE=ANN_STD&amp;SCFT=3&amp;window=popup_no_bar&amp;width=385&amp;height=120&amp;START_MAXIMIZED=FALSE&amp;creator=factset&amp;display_string=Audit"}</definedName>
    <definedName name="_3ad1_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3ad1_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3IS04_" localSheetId="0" hidden="1">{"M1Print",#N/A,FALSE,"M1"}</definedName>
    <definedName name="_3IS04_" hidden="1">{"M1Print",#N/A,FALSE,"M1"}</definedName>
    <definedName name="_3wrn.²Ä1­Ó¤ë1_Ü20¤H." localSheetId="0" hidden="1">{#N/A,#N/A,FALSE,"²Ä1­Ó¤ë"}</definedName>
    <definedName name="_3wrn.²Ä1­Ó¤ë1_Ü20¤H." hidden="1">{#N/A,#N/A,FALSE,"²Ä1­Ó¤ë"}</definedName>
    <definedName name="_4__123Graph_ACHART_13" hidden="1">#REF!</definedName>
    <definedName name="_4__123Graph_ACHART_19" hidden="1">#REF!</definedName>
    <definedName name="_4__123Graph_ACHART_3" hidden="1">#REF!</definedName>
    <definedName name="_4__123Graph_ACHART_4" localSheetId="0" hidden="1">#REF!</definedName>
    <definedName name="_4__123Graph_ACHART_4" hidden="1">#REF!</definedName>
    <definedName name="_4__123Graph_ACHART_8" hidden="1">#REF!</definedName>
    <definedName name="_4__123Graph_ATEILM_RKTE2" hidden="1">#REF!</definedName>
    <definedName name="_4__123Graph_BCHART_1" hidden="1">#REF!</definedName>
    <definedName name="_4__123Graph_XR_M_MARG" hidden="1">#REF!</definedName>
    <definedName name="_4__FDSAUDITLINK__" localSheetId="0" hidden="1">{"fdsup://Directions/FactSet Auditing Viewer?action=AUDIT_VALUE&amp;DB=129&amp;ID1=692737&amp;VALUEID=01551&amp;SDATE=2009&amp;PERIODTYPE=ANN_STD&amp;window=popup_no_bar&amp;width=385&amp;height=120&amp;START_MAXIMIZED=FALSE&amp;creator=factset&amp;display_string=Audit"}</definedName>
    <definedName name="_4__FDSAUDITLINK__" hidden="1">{"fdsup://IBCentral/FAT Viewer?action=UPDATE&amp;creator=factset&amp;DOC_NAME=fat:reuters_annual_source_window.fat&amp;display_string=Audit&amp;DYN_ARGS=TRUE&amp;VAR:ID1=B450Z4&amp;VAR:RCODE=FIBCEBITDA&amp;VAR:SDATE=0&amp;VAR:FREQ=Y&amp;VAR:RELITEM=RP&amp;VAR:CURRENCY=LOCAL&amp;VAR:CURRSOURCE=EXSHARE","&amp;VAR:NATFREQ=ANNUAL&amp;VAR:RFIELD=FINALIZED&amp;VAR:DB_TYPE=NR&amp;VAR:UNITS=M&amp;window=popup&amp;width=450&amp;height=300&amp;START_MAXIMIZED=FALSE"}</definedName>
    <definedName name="_40__123Graph_D_Chart_1A" hidden="1">#REF!</definedName>
    <definedName name="_40__123Graph_ECHART_1" hidden="1">#REF!</definedName>
    <definedName name="_40__123Graph_LBL_ACHART_20" hidden="1">#REF!</definedName>
    <definedName name="_40__FDSAUDITLINK__" localSheetId="0" hidden="1">{"fdsup://Directions/FactSet Auditing Viewer?action=AUDIT_VALUE&amp;DB=129&amp;ID1=692737&amp;VALUEID=01001&amp;SDATE=2008&amp;PERIODTYPE=ANN_STD&amp;window=popup_no_bar&amp;width=385&amp;height=120&amp;START_MAXIMIZED=FALSE&amp;creator=factset&amp;display_string=Audit"}</definedName>
    <definedName name="_40__FDSAUDITLINK__" hidden="1">{"fdsup://directions/FAT Viewer?action=UPDATE&amp;creator=factset&amp;DYN_ARGS=TRUE&amp;DOC_NAME=FAT:FQL_AUDITING_CLIENT_TEMPLATE.FAT&amp;display_string=Audit&amp;VAR:KEY=IRUPKPSREX&amp;VAR:QUERY=RkZfRUJJVF9PUEVSX01HTihBTk4sMjAwOSwsLCxVU0Qp&amp;WINDOW=FIRST_POPUP&amp;HEIGHT=450&amp;WIDTH=450&amp;","START_MAXIMIZED=FALSE&amp;VAR:CALENDAR=FIVEDAY&amp;VAR:SYMBOL=B0D5V5&amp;VAR:INDEX=0"}</definedName>
    <definedName name="_40_0__123Graph_CCHAR" hidden="1">#REF!</definedName>
    <definedName name="_40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103"}</definedName>
    <definedName name="_400__FDSAUDITLINK__" hidden="1">{"fdsup://Directions/FactSet Auditing Viewer?action=AUDIT_VALUE&amp;DB=129&amp;ID1=318094&amp;VALUEID=01001&amp;SDATE=2010&amp;PERIODTYPE=ANN_STD&amp;SCFT=3&amp;window=popup_no_bar&amp;width=385&amp;height=120&amp;START_MAXIMIZED=FALSE&amp;creator=factset&amp;display_string=Audit"}</definedName>
    <definedName name="_40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102"}</definedName>
    <definedName name="_401__FDSAUDITLINK__" hidden="1">{"fdsup://Directions/FactSet Auditing Viewer?action=AUDIT_VALUE&amp;DB=129&amp;ID1=B01FLL&amp;VALUEID=01001&amp;SDATE=2010&amp;PERIODTYPE=ANN_STD&amp;SCFT=3&amp;window=popup_no_bar&amp;width=385&amp;height=120&amp;START_MAXIMIZED=FALSE&amp;creator=factset&amp;display_string=Audit"}</definedName>
    <definedName name="_40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101"}</definedName>
    <definedName name="_402__FDSAUDITLINK__" hidden="1">{"fdsup://directions/FAT Viewer?action=UPDATE&amp;creator=factset&amp;DYN_ARGS=TRUE&amp;DOC_NAME=FAT:FQL_AUDITING_CLIENT_TEMPLATE.FAT&amp;display_string=Audit&amp;VAR:KEY=POHMHCTCVO&amp;VAR:QUERY=RkZfRU5UUlBSX1ZBTF9EQUlMWSg0MDY3NiwsLCxVU0QsJ0RJTCcp&amp;WINDOW=FIRST_POPUP&amp;HEIGHT=450&amp;WI","DTH=450&amp;START_MAXIMIZED=FALSE&amp;VAR:CALENDAR=FIVEDAY&amp;VAR:SYMBOL=464330&amp;VAR:INDEX=0"}</definedName>
    <definedName name="_40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100"}</definedName>
    <definedName name="_403__FDSAUDITLINK__" hidden="1">{"fdsup://directions/FAT Viewer?action=UPDATE&amp;creator=factset&amp;DYN_ARGS=TRUE&amp;DOC_NAME=FAT:FQL_AUDITING_CLIENT_TEMPLATE.FAT&amp;display_string=Audit&amp;VAR:KEY=JQBQLKTYTG&amp;VAR:QUERY=RkZfRU5UUlBSX1ZBTF9EQUlMWSg0MDY3NiwsLCxVU0QsJ0RJTCcp&amp;WINDOW=FIRST_POPUP&amp;HEIGHT=450&amp;WI","DTH=450&amp;START_MAXIMIZED=FALSE&amp;VAR:CALENDAR=FIVEDAY&amp;VAR:SYMBOL=561112&amp;VAR:INDEX=0"}</definedName>
    <definedName name="_40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99"}</definedName>
    <definedName name="_404__FDSAUDITLINK__" hidden="1">{"fdsup://Directions/FactSet Auditing Viewer?action=AUDIT_VALUE&amp;DB=129&amp;ID1=561112&amp;VALUEID=05194&amp;SDATE=2010&amp;PERIODTYPE=ANN_STD&amp;SCFT=3&amp;window=popup_no_bar&amp;width=385&amp;height=120&amp;START_MAXIMIZED=FALSE&amp;creator=factset&amp;display_string=Audit"}</definedName>
    <definedName name="_40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98"}</definedName>
    <definedName name="_405__FDSAUDITLINK__" hidden="1">{"fdsup://directions/FAT Viewer?action=UPDATE&amp;creator=factset&amp;DYN_ARGS=TRUE&amp;DOC_NAME=FAT:FQL_AUDITING_CLIENT_TEMPLATE.FAT&amp;display_string=Audit&amp;VAR:KEY=PKTEPIHOLC&amp;VAR:QUERY=RkZfRU5UUlBSX1ZBTF9EQUlMWSg0MDY3NiwsLCxVU0QsJ0RJTCcp&amp;WINDOW=FIRST_POPUP&amp;HEIGHT=450&amp;WI","DTH=450&amp;START_MAXIMIZED=FALSE&amp;VAR:CALENDAR=FIVEDAY&amp;VAR:SYMBOL=B1VP94&amp;VAR:INDEX=0"}</definedName>
    <definedName name="_40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97"}</definedName>
    <definedName name="_406__FDSAUDITLINK__" hidden="1">{"fdsup://directions/FAT Viewer?action=UPDATE&amp;creator=factset&amp;DYN_ARGS=TRUE&amp;DOC_NAME=FAT:FQL_AUDITING_CLIENT_TEMPLATE.FAT&amp;display_string=Audit&amp;VAR:KEY=VULMFIBQZE&amp;VAR:QUERY=RkZfRU5UUlBSX1ZBTF9EQUlMWSg0MDY3NiwsLCxVU0QsJ0RJTCcp&amp;WINDOW=FIRST_POPUP&amp;HEIGHT=450&amp;WI","DTH=450&amp;START_MAXIMIZED=FALSE&amp;VAR:CALENDAR=FIVEDAY&amp;VAR:SYMBOL=758670&amp;VAR:INDEX=0"}</definedName>
    <definedName name="_40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96"}</definedName>
    <definedName name="_407__FDSAUDITLINK__" hidden="1">{"fdsup://directions/FAT Viewer?action=UPDATE&amp;creator=factset&amp;DYN_ARGS=TRUE&amp;DOC_NAME=FAT:FQL_AUDITING_CLIENT_TEMPLATE.FAT&amp;display_string=Audit&amp;VAR:KEY=LEPCVMLIPA&amp;VAR:QUERY=RkZfRU5UUlBSX1ZBTF9EQUlMWSg0MDY3NiwsLCxVU0QsJ0RJTCcp&amp;WINDOW=FIRST_POPUP&amp;HEIGHT=450&amp;WI","DTH=450&amp;START_MAXIMIZED=FALSE&amp;VAR:CALENDAR=FIVEDAY&amp;VAR:SYMBOL=568104&amp;VAR:INDEX=0"}</definedName>
    <definedName name="_40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95"}</definedName>
    <definedName name="_408__FDSAUDITLINK__" hidden="1">{"fdsup://directions/FAT Viewer?action=UPDATE&amp;creator=factset&amp;DYN_ARGS=TRUE&amp;DOC_NAME=FAT:FQL_AUDITING_CLIENT_TEMPLATE.FAT&amp;display_string=Audit&amp;VAR:KEY=NGZYVUJIBA&amp;VAR:QUERY=RkZfRU5UUlBSX1ZBTF9EQUlMWSg0MDY3NiwsLCxVU0QsJ0RJTCcp&amp;WINDOW=FIRST_POPUP&amp;HEIGHT=450&amp;WI","DTH=450&amp;START_MAXIMIZED=FALSE&amp;VAR:CALENDAR=FIVEDAY&amp;VAR:SYMBOL=B1BFM5&amp;VAR:INDEX=0"}</definedName>
    <definedName name="_40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94"}</definedName>
    <definedName name="_409__FDSAUDITLINK__" hidden="1">{"fdsup://directions/FAT Viewer?action=UPDATE&amp;creator=factset&amp;DYN_ARGS=TRUE&amp;DOC_NAME=FAT:FQL_AUDITING_CLIENT_TEMPLATE.FAT&amp;display_string=Audit&amp;VAR:KEY=JYNALCXYRO&amp;VAR:QUERY=RkZfRU5UUlBSX1ZBTF9EQUlMWSg0MDY3NiwsLCxVU0QsJ0RJTCcp&amp;WINDOW=FIRST_POPUP&amp;HEIGHT=450&amp;WI","DTH=450&amp;START_MAXIMIZED=FALSE&amp;VAR:CALENDAR=FIVEDAY&amp;VAR:SYMBOL=580813&amp;VAR:INDEX=0"}</definedName>
    <definedName name="_41__123Graph_E_Chart_1A" hidden="1">#REF!</definedName>
    <definedName name="_41__123Graph_FCHART_1" hidden="1">#REF!</definedName>
    <definedName name="_41__FDSAUDITLINK__" localSheetId="0" hidden="1">{"fdsup://Directions/FactSet Auditing Viewer?action=AUDIT_VALUE&amp;DB=129&amp;ID1=692737&amp;VALUEID=01001&amp;SDATE=2007&amp;PERIODTYPE=ANN_STD&amp;window=popup_no_bar&amp;width=385&amp;height=120&amp;START_MAXIMIZED=FALSE&amp;creator=factset&amp;display_string=Audit"}</definedName>
    <definedName name="_41__FDSAUDITLINK__" hidden="1">{"fdsup://directions/FAT Viewer?action=UPDATE&amp;creator=factset&amp;DYN_ARGS=TRUE&amp;DOC_NAME=FAT:FQL_AUDITING_CLIENT_TEMPLATE.FAT&amp;display_string=Audit&amp;VAR:KEY=ADSDGHMDQJ&amp;VAR:QUERY=RkZfRUJJVF9PUEVSX01HTihBTk4sMjAxMCk=&amp;WINDOW=FIRST_POPUP&amp;HEIGHT=450&amp;WIDTH=450&amp;START_MA","XIMIZED=FALSE&amp;VAR:CALENDAR=FIVEDAY&amp;VAR:SYMBOL=B1J1MT&amp;VAR:INDEX=0"}</definedName>
    <definedName name="_41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93"}</definedName>
    <definedName name="_410__FDSAUDITLINK__" hidden="1">{"fdsup://directions/FAT Viewer?action=UPDATE&amp;creator=factset&amp;DYN_ARGS=TRUE&amp;DOC_NAME=FAT:FQL_AUDITING_CLIENT_TEMPLATE.FAT&amp;display_string=Audit&amp;VAR:KEY=HUPANKRIPC&amp;VAR:QUERY=RkZfRU5UUlBSX1ZBTF9EQUlMWSg0MDY3NiwsLCxVU0QsJ0RJTCcp&amp;WINDOW=FIRST_POPUP&amp;HEIGHT=450&amp;WI","DTH=450&amp;START_MAXIMIZED=FALSE&amp;VAR:CALENDAR=FIVEDAY&amp;VAR:SYMBOL=B0XP0T&amp;VAR:INDEX=0"}</definedName>
    <definedName name="_41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92"}</definedName>
    <definedName name="_411__FDSAUDITLINK__" hidden="1">{"fdsup://directions/FAT Viewer?action=UPDATE&amp;creator=factset&amp;DYN_ARGS=TRUE&amp;DOC_NAME=FAT:FQL_AUDITING_CLIENT_TEMPLATE.FAT&amp;display_string=Audit&amp;VAR:KEY=NILODMLUXS&amp;VAR:QUERY=RkZfRU5UUlBSX1ZBTF9EQUlMWSg0MDY3NiwsLCxVU0QsJ0RJTCcp&amp;WINDOW=FIRST_POPUP&amp;HEIGHT=450&amp;WI","DTH=450&amp;START_MAXIMIZED=FALSE&amp;VAR:CALENDAR=FIVEDAY&amp;VAR:SYMBOL=318094&amp;VAR:INDEX=0"}</definedName>
    <definedName name="_41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91"}</definedName>
    <definedName name="_412__FDSAUDITLINK__" hidden="1">{"fdsup://Directions/FactSet Auditing Viewer?action=AUDIT_VALUE&amp;DB=129&amp;ID1=318094&amp;VALUEID=05194&amp;SDATE=2010&amp;PERIODTYPE=ANN_STD&amp;SCFT=3&amp;window=popup_no_bar&amp;width=385&amp;height=120&amp;START_MAXIMIZED=FALSE&amp;creator=factset&amp;display_string=Audit"}</definedName>
    <definedName name="_41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90"}</definedName>
    <definedName name="_413__FDSAUDITLINK__" hidden="1">{"fdsup://directions/FAT Viewer?action=UPDATE&amp;creator=factset&amp;DYN_ARGS=TRUE&amp;DOC_NAME=FAT:FQL_AUDITING_CLIENT_TEMPLATE.FAT&amp;display_string=Audit&amp;VAR:KEY=TGTMVYVQDG&amp;VAR:QUERY=RkZfRU5UUlBSX1ZBTF9EQUlMWSg0MDY3NiwsLCxVU0QsJ0RJTCcp&amp;WINDOW=FIRST_POPUP&amp;HEIGHT=450&amp;WI","DTH=450&amp;START_MAXIMIZED=FALSE&amp;VAR:CALENDAR=FIVEDAY&amp;VAR:SYMBOL=B01FLL&amp;VAR:INDEX=0"}</definedName>
    <definedName name="_41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89"}</definedName>
    <definedName name="_414__FDSAUDITLINK__" hidden="1">{"fdsup://Directions/FactSet Auditing Viewer?action=AUDIT_VALUE&amp;DB=129&amp;ID1=B01FLL&amp;VALUEID=05194&amp;SDATE=2010&amp;PERIODTYPE=ANN_STD&amp;SCFT=3&amp;window=popup_no_bar&amp;width=385&amp;height=120&amp;START_MAXIMIZED=FALSE&amp;creator=factset&amp;display_string=Audit"}</definedName>
    <definedName name="_41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88"}</definedName>
    <definedName name="_415__FDSAUDITLINK__" hidden="1">{"fdsup://directions/FAT Viewer?action=UPDATE&amp;creator=factset&amp;DYN_ARGS=TRUE&amp;DOC_NAME=FAT:FQL_AUDITING_CLIENT_TEMPLATE.FAT&amp;display_string=Audit&amp;VAR:KEY=NQDQZYDARQ&amp;VAR:QUERY=RkZfRU5UUlBSX1ZBTF9EQUlMWSg0MDY3NiwsLCxVU0QsJ0RJTCcp&amp;WINDOW=FIRST_POPUP&amp;HEIGHT=450&amp;WI","DTH=450&amp;START_MAXIMIZED=FALSE&amp;VAR:CALENDAR=FIVEDAY&amp;VAR:SYMBOL=417798&amp;VAR:INDEX=0"}</definedName>
    <definedName name="_41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87"}</definedName>
    <definedName name="_416__FDSAUDITLINK__" hidden="1">{"fdsup://directions/FAT Viewer?action=UPDATE&amp;creator=factset&amp;DYN_ARGS=TRUE&amp;DOC_NAME=FAT:FQL_AUDITING_CLIENT_TEMPLATE.FAT&amp;display_string=Audit&amp;VAR:KEY=ZMDUJKFQDG&amp;VAR:QUERY=RkZfRU5UUlBSX1ZBTF9EQUlMWSg0MDY3NiwsLCxVU0QsJ0RJTCcp&amp;WINDOW=FIRST_POPUP&amp;HEIGHT=450&amp;WI","DTH=450&amp;START_MAXIMIZED=FALSE&amp;VAR:CALENDAR=FIVEDAY&amp;VAR:SYMBOL=490014&amp;VAR:INDEX=0"}</definedName>
    <definedName name="_41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86"}</definedName>
    <definedName name="_417__FDSAUDITLINK__" hidden="1">{"fdsup://Directions/FactSet Auditing Viewer?action=AUDIT_VALUE&amp;DB=129&amp;ID1=417798&amp;VALUEID=P05202&amp;SDATE=2010&amp;PERIODTYPE=ANN_STD&amp;SCFT=3&amp;window=popup_no_bar&amp;width=385&amp;height=120&amp;START_MAXIMIZED=FALSE&amp;creator=factset&amp;display_string=Audit"}</definedName>
    <definedName name="_41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85"}</definedName>
    <definedName name="_418__FDSAUDITLINK__" hidden="1">{"fdsup://Directions/FactSet Auditing Viewer?action=AUDIT_VALUE&amp;DB=129&amp;ID1=B1BFM5&amp;VALUEID=01001&amp;SDATE=2010&amp;PERIODTYPE=ANN_STD&amp;SCFT=3&amp;window=popup_no_bar&amp;width=385&amp;height=120&amp;START_MAXIMIZED=FALSE&amp;creator=factset&amp;display_string=Audit"}</definedName>
    <definedName name="_41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84"}</definedName>
    <definedName name="_419__FDSAUDITLINK__" hidden="1">{"fdsup://Directions/FactSet Auditing Viewer?action=AUDIT_VALUE&amp;DB=129&amp;ID1=B1BFM5&amp;VALUEID=01001&amp;SDATE=2009&amp;PERIODTYPE=ANN_STD&amp;SCFT=3&amp;window=popup_no_bar&amp;width=385&amp;height=120&amp;START_MAXIMIZED=FALSE&amp;creator=factset&amp;display_string=Audit"}</definedName>
    <definedName name="_42__123Graph_F_Chart_1A" hidden="1">#REF!</definedName>
    <definedName name="_42__123Graph_LBL_ACHART_2" hidden="1">#REF!</definedName>
    <definedName name="_42__123Graph_LBL_BCHART_14" hidden="1">#REF!</definedName>
    <definedName name="_42__FDSAUDITLINK__" localSheetId="0" hidden="1">{"fdsup://IBCentral/FAT Viewer?action=UPDATE&amp;creator=factset&amp;DOC_NAME=fat:reuters_qtrly_source_window.fat&amp;display_string=Audit&amp;DYN_ARGS=TRUE&amp;VAR:ID1=692737&amp;VAR:RCODE=FDSPFDSTKTOTAL&amp;VAR:SDATE=20100999&amp;VAR:FREQ=Quarterly&amp;VAR:RELITEM=RP&amp;VAR:CURRENCY=SGD&amp;VAR:CU","RRSOURCE=EXSHARE&amp;VAR:NATFREQ=QUARTERLY&amp;VAR:RFIELD=FINALIZED&amp;VAR:DB_TYPE=&amp;VAR:UNITS=M&amp;window=popup&amp;width=450&amp;height=300&amp;START_MAXIMIZED=FALSE"}</definedName>
    <definedName name="_42__FDSAUDITLINK__" hidden="1">{"fdsup://directions/FAT Viewer?action=UPDATE&amp;creator=factset&amp;DYN_ARGS=TRUE&amp;DOC_NAME=FAT:FQL_AUDITING_CLIENT_TEMPLATE.FAT&amp;display_string=Audit&amp;VAR:KEY=UFOBADUHGV&amp;VAR:QUERY=RkZfRUJJVF9PUEVSX01HTihBTk4sMjAwOSwsLCxVU0Qp&amp;WINDOW=FIRST_POPUP&amp;HEIGHT=450&amp;WIDTH=450&amp;","START_MAXIMIZED=FALSE&amp;VAR:CALENDAR=FIVEDAY&amp;VAR:SYMBOL=B1J1MT&amp;VAR:INDEX=0"}</definedName>
    <definedName name="_42_0__123Graph_LBL_ACHAR" hidden="1">#REF!</definedName>
    <definedName name="_42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83"}</definedName>
    <definedName name="_420__FDSAUDITLINK__" hidden="1">{"fdsup://Directions/FactSet Auditing Viewer?action=AUDIT_VALUE&amp;DB=129&amp;ID1=580813&amp;VALUEID=01001&amp;SDATE=2010&amp;PERIODTYPE=ANN_STD&amp;SCFT=3&amp;window=popup_no_bar&amp;width=385&amp;height=120&amp;START_MAXIMIZED=FALSE&amp;creator=factset&amp;display_string=Audit"}</definedName>
    <definedName name="_42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82"}</definedName>
    <definedName name="_421__FDSAUDITLINK__" hidden="1">{"fdsup://Directions/FactSet Auditing Viewer?action=AUDIT_VALUE&amp;DB=129&amp;ID1=769426&amp;VALUEID=05194&amp;SDATE=2010&amp;PERIODTYPE=ANN_STD&amp;SCFT=3&amp;window=popup_no_bar&amp;width=385&amp;height=120&amp;START_MAXIMIZED=FALSE&amp;creator=factset&amp;display_string=Audit"}</definedName>
    <definedName name="_42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81"}</definedName>
    <definedName name="_422__FDSAUDITLINK__" hidden="1">{"fdsup://directions/FAT Viewer?action=UPDATE&amp;creator=factset&amp;DYN_ARGS=TRUE&amp;DOC_NAME=FAT:FQL_AUDITING_CLIENT_TEMPLATE.FAT&amp;display_string=Audit&amp;VAR:KEY=BGDCDERQDE&amp;VAR:QUERY=RkZfRU5UUlBSX1ZBTF9EQUlMWSg0MDc3OSwsLCxVU0QsJ0RJTCcp&amp;WINDOW=FIRST_POPUP&amp;HEIGHT=450&amp;WI","DTH=450&amp;START_MAXIMIZED=FALSE&amp;VAR:CALENDAR=FIVEDAY&amp;VAR:SYMBOL=769426&amp;VAR:INDEX=0"}</definedName>
    <definedName name="_42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80"}</definedName>
    <definedName name="_423__FDSAUDITLINK__" hidden="1">{"fdsup://Directions/FactSet Auditing Viewer?action=AUDIT_VALUE&amp;DB=129&amp;ID1=769426&amp;VALUEID=01001&amp;SDATE=2009&amp;PERIODTYPE=ANN_STD&amp;SCFT=3&amp;window=popup_no_bar&amp;width=385&amp;height=120&amp;START_MAXIMIZED=FALSE&amp;creator=factset&amp;display_string=Audit"}</definedName>
    <definedName name="_42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79"}</definedName>
    <definedName name="_424__FDSAUDITLINK__" hidden="1">{"fdsup://Directions/FactSet Auditing Viewer?action=AUDIT_VALUE&amp;DB=129&amp;ID1=769426&amp;VALUEID=01001&amp;SDATE=2010&amp;PERIODTYPE=ANN_STD&amp;SCFT=3&amp;window=popup_no_bar&amp;width=385&amp;height=120&amp;START_MAXIMIZED=FALSE&amp;creator=factset&amp;display_string=Audit"}</definedName>
    <definedName name="_42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78"}</definedName>
    <definedName name="_425__FDSAUDITLINK__" hidden="1">{"fdsup://directions/FAT Viewer?action=UPDATE&amp;creator=factset&amp;DYN_ARGS=TRUE&amp;DOC_NAME=FAT:FQL_AUDITING_CLIENT_TEMPLATE.FAT&amp;display_string=Audit&amp;VAR:KEY=RGNQDMBMVG&amp;VAR:QUERY=RkZfRUJJVF9PUEVSKEFOTiwyMDA5LCwsLFVTRCk=&amp;WINDOW=FIRST_POPUP&amp;HEIGHT=450&amp;WIDTH=450&amp;STAR","T_MAXIMIZED=FALSE&amp;VAR:CALENDAR=FIVEDAY&amp;VAR:SYMBOL=769426&amp;VAR:INDEX=0"}</definedName>
    <definedName name="_42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77"}</definedName>
    <definedName name="_426__FDSAUDITLINK__" hidden="1">{"fdsup://directions/FAT Viewer?action=UPDATE&amp;creator=factset&amp;DYN_ARGS=TRUE&amp;DOC_NAME=FAT:FQL_AUDITING_CLIENT_TEMPLATE.FAT&amp;display_string=Audit&amp;VAR:KEY=XCHGHCDYHY&amp;VAR:QUERY=RkZfRUJJVF9PUEVSKEFOTiwyMDEwLCwsLFVTRCk=&amp;WINDOW=FIRST_POPUP&amp;HEIGHT=450&amp;WIDTH=450&amp;STAR","T_MAXIMIZED=FALSE&amp;VAR:CALENDAR=FIVEDAY&amp;VAR:SYMBOL=769426&amp;VAR:INDEX=0"}</definedName>
    <definedName name="_42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76"}</definedName>
    <definedName name="_427__FDSAUDITLINK__" hidden="1">{"fdsup://directions/FAT Viewer?action=UPDATE&amp;creator=factset&amp;DYN_ARGS=TRUE&amp;DOC_NAME=FAT:FQL_AUDITING_CLIENT_TEMPLATE.FAT&amp;display_string=Audit&amp;VAR:KEY=RQRGBWNCPI&amp;VAR:QUERY=RkZfRUJJVERBX09QRVIoQU5OLDIwMDksLCwsVVNEKQ==&amp;WINDOW=FIRST_POPUP&amp;HEIGHT=450&amp;WIDTH=450&amp;","START_MAXIMIZED=FALSE&amp;VAR:CALENDAR=FIVEDAY&amp;VAR:SYMBOL=769426&amp;VAR:INDEX=0"}</definedName>
    <definedName name="_42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75"}</definedName>
    <definedName name="_428__FDSAUDITLINK__" hidden="1">{"fdsup://directions/FAT Viewer?action=UPDATE&amp;creator=factset&amp;DYN_ARGS=TRUE&amp;DOC_NAME=FAT:FQL_AUDITING_CLIENT_TEMPLATE.FAT&amp;display_string=Audit&amp;VAR:KEY=ZKTOLUVOBI&amp;VAR:QUERY=RkZfRUJJVERBX09QRVIoQU5OLDIwMTAsLCwsVVNEKQ==&amp;WINDOW=FIRST_POPUP&amp;HEIGHT=450&amp;WIDTH=450&amp;","START_MAXIMIZED=FALSE&amp;VAR:CALENDAR=FIVEDAY&amp;VAR:SYMBOL=769426&amp;VAR:INDEX=0"}</definedName>
    <definedName name="_42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74"}</definedName>
    <definedName name="_429__FDSAUDITLINK__" hidden="1">{"fdsup://directions/FAT Viewer?action=UPDATE&amp;creator=factset&amp;DYN_ARGS=TRUE&amp;DOC_NAME=FAT:FQL_AUDITING_CLIENT_TEMPLATE.FAT&amp;display_string=Audit&amp;VAR:KEY=DADCZWBMTM&amp;VAR:QUERY=RkZfTkVUX0lOQyhBTk4sMjAwOSwsLCxVU0Qp&amp;WINDOW=FIRST_POPUP&amp;HEIGHT=450&amp;WIDTH=450&amp;START_MA","XIMIZED=FALSE&amp;VAR:CALENDAR=FIVEDAY&amp;VAR:SYMBOL=769426&amp;VAR:INDEX=0"}</definedName>
    <definedName name="_42k1_" hidden="1">#REF!</definedName>
    <definedName name="_43__123Graph_LBL_BCHART_19" hidden="1">#REF!</definedName>
    <definedName name="_43__123Graph_X_Chart_1A" hidden="1">#REF!</definedName>
    <definedName name="_43__FDSAUDITLINK__" localSheetId="0" hidden="1">{"fdsup://IBCentral/FAT Viewer?action=UPDATE&amp;creator=factset&amp;DOC_NAME=fat:reuters_qtrly_source_window.fat&amp;display_string=Audit&amp;DYN_ARGS=TRUE&amp;VAR:ID1=692737&amp;VAR:RCODE=LMIN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43__FDSAUDITLINK__" hidden="1">{"fdsup://directions/FAT Viewer?action=UPDATE&amp;creator=factset&amp;DYN_ARGS=TRUE&amp;DOC_NAME=FAT:FQL_AUDITING_CLIENT_TEMPLATE.FAT&amp;display_string=Audit&amp;VAR:KEY=CVKLMBKFWL&amp;VAR:QUERY=RkZfRUJJVF9PUEVSX01HTihBTk4sMjAxMCk=&amp;WINDOW=FIRST_POPUP&amp;HEIGHT=450&amp;WIDTH=450&amp;START_MA","XIMIZED=FALSE&amp;VAR:CALENDAR=FIVEDAY&amp;VAR:SYMBOL=769426&amp;VAR:INDEX=0"}</definedName>
    <definedName name="_43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73"}</definedName>
    <definedName name="_430__FDSAUDITLINK__" hidden="1">{"fdsup://directions/FAT Viewer?action=UPDATE&amp;creator=factset&amp;DYN_ARGS=TRUE&amp;DOC_NAME=FAT:FQL_AUDITING_CLIENT_TEMPLATE.FAT&amp;display_string=Audit&amp;VAR:KEY=FOPIJAFUTE&amp;VAR:QUERY=RkZfTkVUX0lOQyhBTk4sMjAxMCwsLCxVU0Qp&amp;WINDOW=FIRST_POPUP&amp;HEIGHT=450&amp;WIDTH=450&amp;START_MA","XIMIZED=FALSE&amp;VAR:CALENDAR=FIVEDAY&amp;VAR:SYMBOL=769426&amp;VAR:INDEX=0"}</definedName>
    <definedName name="_43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72"}</definedName>
    <definedName name="_431__FDSAUDITLINK__" hidden="1">{"fdsup://directions/FAT Viewer?action=UPDATE&amp;creator=factset&amp;DYN_ARGS=TRUE&amp;DOC_NAME=FAT:FQL_AUDITING_CLIENT_TEMPLATE.FAT&amp;display_string=Audit&amp;VAR:KEY=ZWPKPOBGNG&amp;VAR:QUERY=RkZfUEUoQU5OLDIwMDksLCwsVVNEKQ==&amp;WINDOW=FIRST_POPUP&amp;HEIGHT=450&amp;WIDTH=450&amp;START_MAXIMI","ZED=FALSE&amp;VAR:CALENDAR=FIVEDAY&amp;VAR:SYMBOL=769426&amp;VAR:INDEX=0"}</definedName>
    <definedName name="_43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71"}</definedName>
    <definedName name="_432__FDSAUDITLINK__" hidden="1">{"fdsup://directions/FAT Viewer?action=UPDATE&amp;creator=factset&amp;DYN_ARGS=TRUE&amp;DOC_NAME=FAT:FQL_AUDITING_CLIENT_TEMPLATE.FAT&amp;display_string=Audit&amp;VAR:KEY=BIRAFEFMTI&amp;VAR:QUERY=RkZfUEUoQU5OLDIwMTAsLCwsVVNEKQ==&amp;WINDOW=FIRST_POPUP&amp;HEIGHT=450&amp;WIDTH=450&amp;START_MAXIMI","ZED=FALSE&amp;VAR:CALENDAR=FIVEDAY&amp;VAR:SYMBOL=769426&amp;VAR:INDEX=0"}</definedName>
    <definedName name="_43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70"}</definedName>
    <definedName name="_433__FDSAUDITLINK__" hidden="1">{"fdsup://directions/FAT Viewer?action=UPDATE&amp;creator=factset&amp;DYN_ARGS=TRUE&amp;DOC_NAME=FAT:FQL_AUDITING_CLIENT_TEMPLATE.FAT&amp;display_string=Audit&amp;VAR:KEY=RCTQHANIZK&amp;VAR:QUERY=RkZfRU5UUlBSX1ZBTF9FQklUX09QRVIoQU5OLDIwMDksLCwsVVNEKQ==&amp;WINDOW=FIRST_POPUP&amp;HEIGHT=45","0&amp;WIDTH=450&amp;START_MAXIMIZED=FALSE&amp;VAR:CALENDAR=FIVEDAY&amp;VAR:SYMBOL=769426&amp;VAR:INDEX=0"}</definedName>
    <definedName name="_43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69"}</definedName>
    <definedName name="_434__FDSAUDITLINK__" hidden="1">{"fdsup://directions/FAT Viewer?action=UPDATE&amp;creator=factset&amp;DYN_ARGS=TRUE&amp;DOC_NAME=FAT:FQL_AUDITING_CLIENT_TEMPLATE.FAT&amp;display_string=Audit&amp;VAR:KEY=VKPQLATAVK&amp;VAR:QUERY=RkZfRU5UUlBSX1ZBTF9FQklUX09QRVIoQU5OLDIwMTAsLCwsVVNEKQ==&amp;WINDOW=FIRST_POPUP&amp;HEIGHT=45","0&amp;WIDTH=450&amp;START_MAXIMIZED=FALSE&amp;VAR:CALENDAR=FIVEDAY&amp;VAR:SYMBOL=769426&amp;VAR:INDEX=0"}</definedName>
    <definedName name="_43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68"}</definedName>
    <definedName name="_435__FDSAUDITLINK__" hidden="1">{"fdsup://directions/FAT Viewer?action=UPDATE&amp;creator=factset&amp;DYN_ARGS=TRUE&amp;DOC_NAME=FAT:FQL_AUDITING_CLIENT_TEMPLATE.FAT&amp;display_string=Audit&amp;VAR:KEY=FMBYHSLARA&amp;VAR:QUERY=RkZfRU5UUlBSX1ZBTF9FQklUREFfT1BFUihBTk4sMjAwOSwsLCxVU0Qp&amp;WINDOW=FIRST_POPUP&amp;HEIGHT=45","0&amp;WIDTH=450&amp;START_MAXIMIZED=FALSE&amp;VAR:CALENDAR=FIVEDAY&amp;VAR:SYMBOL=769426&amp;VAR:INDEX=0"}</definedName>
    <definedName name="_43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67"}</definedName>
    <definedName name="_436__FDSAUDITLINK__" hidden="1">{"fdsup://directions/FAT Viewer?action=UPDATE&amp;creator=factset&amp;DYN_ARGS=TRUE&amp;DOC_NAME=FAT:FQL_AUDITING_CLIENT_TEMPLATE.FAT&amp;display_string=Audit&amp;VAR:KEY=DETEVKPQJE&amp;VAR:QUERY=RkZfRU5UUlBSX1ZBTF9FQklUREFfT1BFUihBTk4sMjAxMCwsLCxVU0Qp&amp;WINDOW=FIRST_POPUP&amp;HEIGHT=45","0&amp;WIDTH=450&amp;START_MAXIMIZED=FALSE&amp;VAR:CALENDAR=FIVEDAY&amp;VAR:SYMBOL=769426&amp;VAR:INDEX=0"}</definedName>
    <definedName name="_43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66"}</definedName>
    <definedName name="_437__FDSAUDITLINK__" hidden="1">{"fdsup://directions/FAT Viewer?action=UPDATE&amp;creator=factset&amp;DYN_ARGS=TRUE&amp;DOC_NAME=FAT:FQL_AUDITING_CLIENT_TEMPLATE.FAT&amp;display_string=Audit&amp;VAR:KEY=ROBOZOBUPC&amp;VAR:QUERY=RkZfRU5UUlBSX1ZBTF9TQUxFUyhBTk4sMjAwOSwsLCxVU0Qp&amp;WINDOW=FIRST_POPUP&amp;HEIGHT=450&amp;WIDTH=","450&amp;START_MAXIMIZED=FALSE&amp;VAR:CALENDAR=FIVEDAY&amp;VAR:SYMBOL=769426&amp;VAR:INDEX=0"}</definedName>
    <definedName name="_43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65"}</definedName>
    <definedName name="_438__FDSAUDITLINK__" hidden="1">{"fdsup://directions/FAT Viewer?action=UPDATE&amp;creator=factset&amp;DYN_ARGS=TRUE&amp;DOC_NAME=FAT:FQL_AUDITING_CLIENT_TEMPLATE.FAT&amp;display_string=Audit&amp;VAR:KEY=ZCNUPUJKVY&amp;VAR:QUERY=RkZfRU5UUlBSX1ZBTF9TQUxFUyhBTk4sMjAxMCwsLCxVU0Qp&amp;WINDOW=FIRST_POPUP&amp;HEIGHT=450&amp;WIDTH=","450&amp;START_MAXIMIZED=FALSE&amp;VAR:CALENDAR=FIVEDAY&amp;VAR:SYMBOL=769426&amp;VAR:INDEX=0"}</definedName>
    <definedName name="_43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64"}</definedName>
    <definedName name="_439__FDSAUDITLINK__" hidden="1">{"fdsup://directions/FAT Viewer?action=UPDATE&amp;creator=factset&amp;DYN_ARGS=TRUE&amp;DOC_NAME=FAT:FQL_AUDITING_CLIENT_TEMPLATE.FAT&amp;display_string=Audit&amp;VAR:KEY=PYLWZSTMTK&amp;VAR:QUERY=RkZfR1JPU1NfTUdOKEFOTiwyMDA5LCwsLFVTRCk=&amp;WINDOW=FIRST_POPUP&amp;HEIGHT=450&amp;WIDTH=450&amp;STAR","T_MAXIMIZED=FALSE&amp;VAR:CALENDAR=FIVEDAY&amp;VAR:SYMBOL=769426&amp;VAR:INDEX=0"}</definedName>
    <definedName name="_44__123Graph_LBL_CCHART_19" hidden="1">#REF!</definedName>
    <definedName name="_44__123Graph_XChart_1" hidden="1">#REF!</definedName>
    <definedName name="_44__FDSAUDITLINK__" localSheetId="0" hidden="1">{"fdsup://IBCentral/FAT Viewer?action=UPDATE&amp;creator=factset&amp;DOC_NAME=fat:reuters_qtrly_source_window.fat&amp;display_string=Audit&amp;DYN_ARGS=TRUE&amp;VAR:ID1=692737&amp;VAR:RCODE=LMIN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44__FDSAUDITLINK__" hidden="1">{"fdsup://directions/FAT Viewer?action=UPDATE&amp;creator=factset&amp;DYN_ARGS=TRUE&amp;DOC_NAME=FAT:FQL_AUDITING_CLIENT_TEMPLATE.FAT&amp;display_string=Audit&amp;VAR:KEY=OPCPWJCJWT&amp;VAR:QUERY=RkZfRUJJVF9PUEVSX01HTihBTk4sMjAwOSwsLCxVU0Qp&amp;WINDOW=FIRST_POPUP&amp;HEIGHT=450&amp;WIDTH=450&amp;","START_MAXIMIZED=FALSE&amp;VAR:CALENDAR=FIVEDAY&amp;VAR:SYMBOL=769426&amp;VAR:INDEX=0"}</definedName>
    <definedName name="_44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63"}</definedName>
    <definedName name="_440__FDSAUDITLINK__" hidden="1">{"fdsup://directions/FAT Viewer?action=UPDATE&amp;creator=factset&amp;DYN_ARGS=TRUE&amp;DOC_NAME=FAT:FQL_AUDITING_CLIENT_TEMPLATE.FAT&amp;display_string=Audit&amp;VAR:KEY=HODUTYHADK&amp;VAR:QUERY=RkZfR1JPU1NfTUdOKEFOTiwyMDEwKQ==&amp;WINDOW=FIRST_POPUP&amp;HEIGHT=450&amp;WIDTH=450&amp;START_MAXIMI","ZED=FALSE&amp;VAR:CALENDAR=FIVEDAY&amp;VAR:SYMBOL=769426&amp;VAR:INDEX=0"}</definedName>
    <definedName name="_44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62"}</definedName>
    <definedName name="_441__FDSAUDITLINK__" hidden="1">{"fdsup://directions/FAT Viewer?action=UPDATE&amp;creator=factset&amp;DYN_ARGS=TRUE&amp;DOC_NAME=FAT:FQL_AUDITING_CLIENT_TEMPLATE.FAT&amp;display_string=Audit&amp;VAR:KEY=VWLSVCJSHA&amp;VAR:QUERY=RkZfRUJJVF9PUEVSX01HTihBTk4sMjAwOSwsLCxVU0Qp&amp;WINDOW=FIRST_POPUP&amp;HEIGHT=450&amp;WIDTH=450&amp;","START_MAXIMIZED=FALSE&amp;VAR:CALENDAR=FIVEDAY&amp;VAR:SYMBOL=769426&amp;VAR:INDEX=0"}</definedName>
    <definedName name="_44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61"}</definedName>
    <definedName name="_442__FDSAUDITLINK__" hidden="1">{"fdsup://directions/FAT Viewer?action=UPDATE&amp;creator=factset&amp;DYN_ARGS=TRUE&amp;DOC_NAME=FAT:FQL_AUDITING_CLIENT_TEMPLATE.FAT&amp;display_string=Audit&amp;VAR:KEY=ZYJSPIZMXS&amp;VAR:QUERY=RkZfRUJJVF9PUEVSX01HTihBTk4sMjAxMCk=&amp;WINDOW=FIRST_POPUP&amp;HEIGHT=450&amp;WIDTH=450&amp;START_MA","XIMIZED=FALSE&amp;VAR:CALENDAR=FIVEDAY&amp;VAR:SYMBOL=769426&amp;VAR:INDEX=0"}</definedName>
    <definedName name="_44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60"}</definedName>
    <definedName name="_443__FDSAUDITLINK__" hidden="1">{"fdsup://directions/FAT Viewer?action=UPDATE&amp;creator=factset&amp;DYN_ARGS=TRUE&amp;DOC_NAME=FAT:FQL_AUDITING_CLIENT_TEMPLATE.FAT&amp;display_string=Audit&amp;VAR:KEY=JYZINOXYFK&amp;VAR:QUERY=RkZfRUJJVERBX09QRVJfTUdOKEFOTiwyMDA5LCwsLFVTRCk=&amp;WINDOW=FIRST_POPUP&amp;HEIGHT=450&amp;WIDTH=","450&amp;START_MAXIMIZED=FALSE&amp;VAR:CALENDAR=FIVEDAY&amp;VAR:SYMBOL=769426&amp;VAR:INDEX=0"}</definedName>
    <definedName name="_44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59"}</definedName>
    <definedName name="_444__FDSAUDITLINK__" hidden="1">{"fdsup://directions/FAT Viewer?action=UPDATE&amp;creator=factset&amp;DYN_ARGS=TRUE&amp;DOC_NAME=FAT:FQL_AUDITING_CLIENT_TEMPLATE.FAT&amp;display_string=Audit&amp;VAR:KEY=XSVQJSBYRC&amp;VAR:QUERY=RkZfRUJJVERBX09QRVJfTUdOKEFOTiwyMDEwKQ==&amp;WINDOW=FIRST_POPUP&amp;HEIGHT=450&amp;WIDTH=450&amp;STAR","T_MAXIMIZED=FALSE&amp;VAR:CALENDAR=FIVEDAY&amp;VAR:SYMBOL=769426&amp;VAR:INDEX=0"}</definedName>
    <definedName name="_44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58"}</definedName>
    <definedName name="_445__FDSAUDITLINK__" hidden="1">{"fdsup://Directions/FactSet Auditing Viewer?action=AUDIT_VALUE&amp;DB=129&amp;ID1=B1J1MT&amp;VALUEID=05194&amp;SDATE=2010&amp;PERIODTYPE=ANN_STD&amp;SCFT=3&amp;window=popup_no_bar&amp;width=385&amp;height=120&amp;START_MAXIMIZED=FALSE&amp;creator=factset&amp;display_string=Audit"}</definedName>
    <definedName name="_44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57"}</definedName>
    <definedName name="_446__FDSAUDITLINK__" hidden="1">{"fdsup://directions/FAT Viewer?action=UPDATE&amp;creator=factset&amp;DYN_ARGS=TRUE&amp;DOC_NAME=FAT:FQL_AUDITING_CLIENT_TEMPLATE.FAT&amp;display_string=Audit&amp;VAR:KEY=RYDOFUTQHS&amp;VAR:QUERY=RkZfRU5UUlBSX1ZBTF9EQUlMWSg0MDc3OSwsLCxVU0QsJ0RJTCcp&amp;WINDOW=FIRST_POPUP&amp;HEIGHT=450&amp;WI","DTH=450&amp;START_MAXIMIZED=FALSE&amp;VAR:CALENDAR=FIVEDAY&amp;VAR:SYMBOL=B1J1MT&amp;VAR:INDEX=0"}</definedName>
    <definedName name="_44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56"}</definedName>
    <definedName name="_447__FDSAUDITLINK__" hidden="1">{"fdsup://Directions/FactSet Auditing Viewer?action=AUDIT_VALUE&amp;DB=129&amp;ID1=B1J1MT&amp;VALUEID=01001&amp;SDATE=2009&amp;PERIODTYPE=ANN_STD&amp;SCFT=3&amp;window=popup_no_bar&amp;width=385&amp;height=120&amp;START_MAXIMIZED=FALSE&amp;creator=factset&amp;display_string=Audit"}</definedName>
    <definedName name="_44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55"}</definedName>
    <definedName name="_448__FDSAUDITLINK__" hidden="1">{"fdsup://Directions/FactSet Auditing Viewer?action=AUDIT_VALUE&amp;DB=129&amp;ID1=B1J1MT&amp;VALUEID=01001&amp;SDATE=2010&amp;PERIODTYPE=ANN_STD&amp;SCFT=3&amp;window=popup_no_bar&amp;width=385&amp;height=120&amp;START_MAXIMIZED=FALSE&amp;creator=factset&amp;display_string=Audit"}</definedName>
    <definedName name="_44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54"}</definedName>
    <definedName name="_449__FDSAUDITLINK__" hidden="1">{"fdsup://directions/FAT Viewer?action=UPDATE&amp;creator=factset&amp;DYN_ARGS=TRUE&amp;DOC_NAME=FAT:FQL_AUDITING_CLIENT_TEMPLATE.FAT&amp;display_string=Audit&amp;VAR:KEY=DENGPUVYJS&amp;VAR:QUERY=RkZfRUJJVF9PUEVSKEFOTiwyMDA5LCwsLFVTRCk=&amp;WINDOW=FIRST_POPUP&amp;HEIGHT=450&amp;WIDTH=450&amp;STAR","T_MAXIMIZED=FALSE&amp;VAR:CALENDAR=FIVEDAY&amp;VAR:SYMBOL=B1J1MT&amp;VAR:INDEX=0"}</definedName>
    <definedName name="_45__123Graph_XChart_2" hidden="1">#REF!</definedName>
    <definedName name="_45__123Graph_XCHART_20" hidden="1">#REF!</definedName>
    <definedName name="_45__FDSAUDITLINK__" localSheetId="0" hidden="1">{"fdsup://IBCentral/FAT Viewer?action=UPDATE&amp;creator=factset&amp;DOC_NAME=fat:reuters_qtrly_source_window.fat&amp;display_string=Audit&amp;DYN_ARGS=TRUE&amp;VAR:ID1=692737&amp;VAR:RCODE=SCSI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45__FDSAUDITLINK__" hidden="1">{"fdsup://directions/FAT Viewer?action=UPDATE&amp;creator=factset&amp;DYN_ARGS=TRUE&amp;DOC_NAME=FAT:FQL_AUDITING_CLIENT_TEMPLATE.FAT&amp;display_string=Audit&amp;VAR:KEY=GPSBEPYVSH&amp;VAR:QUERY=RkZfR1JPU1NfTUdOKEFOTiwyMDEwKQ==&amp;WINDOW=FIRST_POPUP&amp;HEIGHT=450&amp;WIDTH=450&amp;START_MAXIMI","ZED=FALSE&amp;VAR:CALENDAR=FIVEDAY&amp;VAR:SYMBOL=B5TWX8&amp;VAR:INDEX=0"}</definedName>
    <definedName name="_45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53"}</definedName>
    <definedName name="_450__FDSAUDITLINK__" hidden="1">{"fdsup://directions/FAT Viewer?action=UPDATE&amp;creator=factset&amp;DYN_ARGS=TRUE&amp;DOC_NAME=FAT:FQL_AUDITING_CLIENT_TEMPLATE.FAT&amp;display_string=Audit&amp;VAR:KEY=HKBARQBEJA&amp;VAR:QUERY=RkZfRUJJVF9PUEVSKEFOTiwyMDEwLCwsLFVTRCk=&amp;WINDOW=FIRST_POPUP&amp;HEIGHT=450&amp;WIDTH=450&amp;STAR","T_MAXIMIZED=FALSE&amp;VAR:CALENDAR=FIVEDAY&amp;VAR:SYMBOL=B1J1MT&amp;VAR:INDEX=0"}</definedName>
    <definedName name="_45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52"}</definedName>
    <definedName name="_451__FDSAUDITLINK__" hidden="1">{"fdsup://directions/FAT Viewer?action=UPDATE&amp;creator=factset&amp;DYN_ARGS=TRUE&amp;DOC_NAME=FAT:FQL_AUDITING_CLIENT_TEMPLATE.FAT&amp;display_string=Audit&amp;VAR:KEY=NCFUTWXAPK&amp;VAR:QUERY=RkZfRUJJVERBX09QRVIoQU5OLDIwMDksLCwsVVNEKQ==&amp;WINDOW=FIRST_POPUP&amp;HEIGHT=450&amp;WIDTH=450&amp;","START_MAXIMIZED=FALSE&amp;VAR:CALENDAR=FIVEDAY&amp;VAR:SYMBOL=B1J1MT&amp;VAR:INDEX=0"}</definedName>
    <definedName name="_45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51"}</definedName>
    <definedName name="_452__FDSAUDITLINK__" hidden="1">{"fdsup://directions/FAT Viewer?action=UPDATE&amp;creator=factset&amp;DYN_ARGS=TRUE&amp;DOC_NAME=FAT:FQL_AUDITING_CLIENT_TEMPLATE.FAT&amp;display_string=Audit&amp;VAR:KEY=TEXOVEPUVM&amp;VAR:QUERY=RkZfRUJJVERBX09QRVIoQU5OLDIwMTAsLCwsVVNEKQ==&amp;WINDOW=FIRST_POPUP&amp;HEIGHT=450&amp;WIDTH=450&amp;","START_MAXIMIZED=FALSE&amp;VAR:CALENDAR=FIVEDAY&amp;VAR:SYMBOL=B1J1MT&amp;VAR:INDEX=0"}</definedName>
    <definedName name="_45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50"}</definedName>
    <definedName name="_453__FDSAUDITLINK__" hidden="1">{"fdsup://directions/FAT Viewer?action=UPDATE&amp;creator=factset&amp;DYN_ARGS=TRUE&amp;DOC_NAME=FAT:FQL_AUDITING_CLIENT_TEMPLATE.FAT&amp;display_string=Audit&amp;VAR:KEY=JABYFWXIFY&amp;VAR:QUERY=RkZfTkVUX0lOQyhBTk4sMjAwOSwsLCxVU0Qp&amp;WINDOW=FIRST_POPUP&amp;HEIGHT=450&amp;WIDTH=450&amp;START_MA","XIMIZED=FALSE&amp;VAR:CALENDAR=FIVEDAY&amp;VAR:SYMBOL=B1J1MT&amp;VAR:INDEX=0"}</definedName>
    <definedName name="_45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49"}</definedName>
    <definedName name="_454__FDSAUDITLINK__" hidden="1">{"fdsup://directions/FAT Viewer?action=UPDATE&amp;creator=factset&amp;DYN_ARGS=TRUE&amp;DOC_NAME=FAT:FQL_AUDITING_CLIENT_TEMPLATE.FAT&amp;display_string=Audit&amp;VAR:KEY=ZILQJWDWLA&amp;VAR:QUERY=RkZfTkVUX0lOQyhBTk4sMjAxMCwsLCxVU0Qp&amp;WINDOW=FIRST_POPUP&amp;HEIGHT=450&amp;WIDTH=450&amp;START_MA","XIMIZED=FALSE&amp;VAR:CALENDAR=FIVEDAY&amp;VAR:SYMBOL=B1J1MT&amp;VAR:INDEX=0"}</definedName>
    <definedName name="_45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48"}</definedName>
    <definedName name="_455__FDSAUDITLINK__" hidden="1">{"fdsup://directions/FAT Viewer?action=UPDATE&amp;creator=factset&amp;DYN_ARGS=TRUE&amp;DOC_NAME=FAT:FQL_AUDITING_CLIENT_TEMPLATE.FAT&amp;display_string=Audit&amp;VAR:KEY=JOFQJITEVC&amp;VAR:QUERY=RkZfUEUoQU5OLDIwMDksLCwsVVNEKQ==&amp;WINDOW=FIRST_POPUP&amp;HEIGHT=450&amp;WIDTH=450&amp;START_MAXIMI","ZED=FALSE&amp;VAR:CALENDAR=FIVEDAY&amp;VAR:SYMBOL=B1J1MT&amp;VAR:INDEX=0"}</definedName>
    <definedName name="_45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47"}</definedName>
    <definedName name="_456__FDSAUDITLINK__" hidden="1">{"fdsup://directions/FAT Viewer?action=UPDATE&amp;creator=factset&amp;DYN_ARGS=TRUE&amp;DOC_NAME=FAT:FQL_AUDITING_CLIENT_TEMPLATE.FAT&amp;display_string=Audit&amp;VAR:KEY=DQHQJCRORO&amp;VAR:QUERY=RkZfUEUoQU5OLDIwMTAsLCwsVVNEKQ==&amp;WINDOW=FIRST_POPUP&amp;HEIGHT=450&amp;WIDTH=450&amp;START_MAXIMI","ZED=FALSE&amp;VAR:CALENDAR=FIVEDAY&amp;VAR:SYMBOL=B1J1MT&amp;VAR:INDEX=0"}</definedName>
    <definedName name="_45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46"}</definedName>
    <definedName name="_457__FDSAUDITLINK__" hidden="1">{"fdsup://directions/FAT Viewer?action=UPDATE&amp;creator=factset&amp;DYN_ARGS=TRUE&amp;DOC_NAME=FAT:FQL_AUDITING_CLIENT_TEMPLATE.FAT&amp;display_string=Audit&amp;VAR:KEY=HSTCZQXGRC&amp;VAR:QUERY=RkZfRU5UUlBSX1ZBTF9FQklUX09QRVIoQU5OLDIwMDksLCwsVVNEKQ==&amp;WINDOW=FIRST_POPUP&amp;HEIGHT=45","0&amp;WIDTH=450&amp;START_MAXIMIZED=FALSE&amp;VAR:CALENDAR=FIVEDAY&amp;VAR:SYMBOL=B1J1MT&amp;VAR:INDEX=0"}</definedName>
    <definedName name="_45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45"}</definedName>
    <definedName name="_458__FDSAUDITLINK__" hidden="1">{"fdsup://directions/FAT Viewer?action=UPDATE&amp;creator=factset&amp;DYN_ARGS=TRUE&amp;DOC_NAME=FAT:FQL_AUDITING_CLIENT_TEMPLATE.FAT&amp;display_string=Audit&amp;VAR:KEY=BATKRKBWHU&amp;VAR:QUERY=RkZfRU5UUlBSX1ZBTF9FQklUX09QRVIoQU5OLDIwMTAsLCwsVVNEKQ==&amp;WINDOW=FIRST_POPUP&amp;HEIGHT=45","0&amp;WIDTH=450&amp;START_MAXIMIZED=FALSE&amp;VAR:CALENDAR=FIVEDAY&amp;VAR:SYMBOL=B1J1MT&amp;VAR:INDEX=0"}</definedName>
    <definedName name="_45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44"}</definedName>
    <definedName name="_459__FDSAUDITLINK__" hidden="1">{"fdsup://directions/FAT Viewer?action=UPDATE&amp;creator=factset&amp;DYN_ARGS=TRUE&amp;DOC_NAME=FAT:FQL_AUDITING_CLIENT_TEMPLATE.FAT&amp;display_string=Audit&amp;VAR:KEY=TIBCLWTEVW&amp;VAR:QUERY=RkZfRU5UUlBSX1ZBTF9FQklUREFfT1BFUihBTk4sMjAwOSwsLCxVU0Qp&amp;WINDOW=FIRST_POPUP&amp;HEIGHT=45","0&amp;WIDTH=450&amp;START_MAXIMIZED=FALSE&amp;VAR:CALENDAR=FIVEDAY&amp;VAR:SYMBOL=B1J1MT&amp;VAR:INDEX=0"}</definedName>
    <definedName name="_46__123Graph_XChart_3" hidden="1">#REF!</definedName>
    <definedName name="_46__FDSAUDITLINK__" localSheetId="0" hidden="1">{"fdsup://IBCentral/FAT Viewer?action=UPDATE&amp;creator=factset&amp;DOC_NAME=fat:reuters_qtrly_source_window.fat&amp;display_string=Audit&amp;DYN_ARGS=TRUE&amp;VAR:ID1=692737&amp;VAR:RCODE=SCSI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46__FDSAUDITLINK__" hidden="1">{"fdsup://directions/FAT Viewer?action=UPDATE&amp;creator=factset&amp;DYN_ARGS=TRUE&amp;DOC_NAME=FAT:FQL_AUDITING_CLIENT_TEMPLATE.FAT&amp;display_string=Audit&amp;VAR:KEY=YTGLUJYHSH&amp;VAR:QUERY=RkZfR1JPU1NfTUdOKEFOTiwyMDA5LCwsLFVTRCk=&amp;WINDOW=FIRST_POPUP&amp;HEIGHT=450&amp;WIDTH=450&amp;STAR","T_MAXIMIZED=FALSE&amp;VAR:CALENDAR=FIVEDAY&amp;VAR:SYMBOL=B5TWX8&amp;VAR:INDEX=0"}</definedName>
    <definedName name="_46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43"}</definedName>
    <definedName name="_460__FDSAUDITLINK__" hidden="1">{"fdsup://directions/FAT Viewer?action=UPDATE&amp;creator=factset&amp;DYN_ARGS=TRUE&amp;DOC_NAME=FAT:FQL_AUDITING_CLIENT_TEMPLATE.FAT&amp;display_string=Audit&amp;VAR:KEY=TYFSLSTADA&amp;VAR:QUERY=RkZfRU5UUlBSX1ZBTF9FQklUREFfT1BFUihBTk4sMjAxMCwsLCxVU0Qp&amp;WINDOW=FIRST_POPUP&amp;HEIGHT=45","0&amp;WIDTH=450&amp;START_MAXIMIZED=FALSE&amp;VAR:CALENDAR=FIVEDAY&amp;VAR:SYMBOL=B1J1MT&amp;VAR:INDEX=0"}</definedName>
    <definedName name="_46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42"}</definedName>
    <definedName name="_461__FDSAUDITLINK__" hidden="1">{"fdsup://directions/FAT Viewer?action=UPDATE&amp;creator=factset&amp;DYN_ARGS=TRUE&amp;DOC_NAME=FAT:FQL_AUDITING_CLIENT_TEMPLATE.FAT&amp;display_string=Audit&amp;VAR:KEY=XEJOHOXSTE&amp;VAR:QUERY=RkZfRU5UUlBSX1ZBTF9TQUxFUyhBTk4sMjAwOSwsLCxVU0Qp&amp;WINDOW=FIRST_POPUP&amp;HEIGHT=450&amp;WIDTH=","450&amp;START_MAXIMIZED=FALSE&amp;VAR:CALENDAR=FIVEDAY&amp;VAR:SYMBOL=B1J1MT&amp;VAR:INDEX=0"}</definedName>
    <definedName name="_46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41"}</definedName>
    <definedName name="_462__FDSAUDITLINK__" hidden="1">{"fdsup://directions/FAT Viewer?action=UPDATE&amp;creator=factset&amp;DYN_ARGS=TRUE&amp;DOC_NAME=FAT:FQL_AUDITING_CLIENT_TEMPLATE.FAT&amp;display_string=Audit&amp;VAR:KEY=HYLAPUFWJI&amp;VAR:QUERY=RkZfRU5UUlBSX1ZBTF9TQUxFUyhBTk4sMjAxMCwsLCxVU0Qp&amp;WINDOW=FIRST_POPUP&amp;HEIGHT=450&amp;WIDTH=","450&amp;START_MAXIMIZED=FALSE&amp;VAR:CALENDAR=FIVEDAY&amp;VAR:SYMBOL=B1J1MT&amp;VAR:INDEX=0"}</definedName>
    <definedName name="_46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40"}</definedName>
    <definedName name="_463__FDSAUDITLINK__" hidden="1">{"fdsup://directions/FAT Viewer?action=UPDATE&amp;creator=factset&amp;DYN_ARGS=TRUE&amp;DOC_NAME=FAT:FQL_AUDITING_CLIENT_TEMPLATE.FAT&amp;display_string=Audit&amp;VAR:KEY=ZONSVITMXA&amp;VAR:QUERY=RkZfR1JPU1NfTUdOKEFOTiwyMDA5LCwsLFVTRCk=&amp;WINDOW=FIRST_POPUP&amp;HEIGHT=450&amp;WIDTH=450&amp;STAR","T_MAXIMIZED=FALSE&amp;VAR:CALENDAR=FIVEDAY&amp;VAR:SYMBOL=B1J1MT&amp;VAR:INDEX=0"}</definedName>
    <definedName name="_46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39"}</definedName>
    <definedName name="_464__FDSAUDITLINK__" hidden="1">{"fdsup://directions/FAT Viewer?action=UPDATE&amp;creator=factset&amp;DYN_ARGS=TRUE&amp;DOC_NAME=FAT:FQL_AUDITING_CLIENT_TEMPLATE.FAT&amp;display_string=Audit&amp;VAR:KEY=XMZSPELYVA&amp;VAR:QUERY=RkZfR1JPU1NfTUdOKEFOTiwyMDEwKQ==&amp;WINDOW=FIRST_POPUP&amp;HEIGHT=450&amp;WIDTH=450&amp;START_MAXIMI","ZED=FALSE&amp;VAR:CALENDAR=FIVEDAY&amp;VAR:SYMBOL=B1J1MT&amp;VAR:INDEX=0"}</definedName>
    <definedName name="_46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38"}</definedName>
    <definedName name="_465__FDSAUDITLINK__" hidden="1">{"fdsup://directions/FAT Viewer?action=UPDATE&amp;creator=factset&amp;DYN_ARGS=TRUE&amp;DOC_NAME=FAT:FQL_AUDITING_CLIENT_TEMPLATE.FAT&amp;display_string=Audit&amp;VAR:KEY=FQVEVKTWNK&amp;VAR:QUERY=RkZfRUJJVF9PUEVSX01HTihBTk4sMjAwOSwsLCxVU0Qp&amp;WINDOW=FIRST_POPUP&amp;HEIGHT=450&amp;WIDTH=450&amp;","START_MAXIMIZED=FALSE&amp;VAR:CALENDAR=FIVEDAY&amp;VAR:SYMBOL=B1J1MT&amp;VAR:INDEX=0"}</definedName>
    <definedName name="_46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37"}</definedName>
    <definedName name="_466__FDSAUDITLINK__" hidden="1">{"fdsup://directions/FAT Viewer?action=UPDATE&amp;creator=factset&amp;DYN_ARGS=TRUE&amp;DOC_NAME=FAT:FQL_AUDITING_CLIENT_TEMPLATE.FAT&amp;display_string=Audit&amp;VAR:KEY=ZGDALGVCDS&amp;VAR:QUERY=RkZfRUJJVF9PUEVSX01HTihBTk4sMjAxMCk=&amp;WINDOW=FIRST_POPUP&amp;HEIGHT=450&amp;WIDTH=450&amp;START_MA","XIMIZED=FALSE&amp;VAR:CALENDAR=FIVEDAY&amp;VAR:SYMBOL=B1J1MT&amp;VAR:INDEX=0"}</definedName>
    <definedName name="_46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36"}</definedName>
    <definedName name="_467__FDSAUDITLINK__" hidden="1">{"fdsup://directions/FAT Viewer?action=UPDATE&amp;creator=factset&amp;DYN_ARGS=TRUE&amp;DOC_NAME=FAT:FQL_AUDITING_CLIENT_TEMPLATE.FAT&amp;display_string=Audit&amp;VAR:KEY=BKTWTULSRC&amp;VAR:QUERY=RkZfRUJJVERBX09QRVJfTUdOKEFOTiwyMDA5LCwsLFVTRCk=&amp;WINDOW=FIRST_POPUP&amp;HEIGHT=450&amp;WIDTH=","450&amp;START_MAXIMIZED=FALSE&amp;VAR:CALENDAR=FIVEDAY&amp;VAR:SYMBOL=B1J1MT&amp;VAR:INDEX=0"}</definedName>
    <definedName name="_46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35"}</definedName>
    <definedName name="_468__FDSAUDITLINK__" hidden="1">{"fdsup://directions/FAT Viewer?action=UPDATE&amp;creator=factset&amp;DYN_ARGS=TRUE&amp;DOC_NAME=FAT:FQL_AUDITING_CLIENT_TEMPLATE.FAT&amp;display_string=Audit&amp;VAR:KEY=HYBEJQFYNQ&amp;VAR:QUERY=RkZfRUJJVERBX09QRVJfTUdOKEFOTiwyMDEwKQ==&amp;WINDOW=FIRST_POPUP&amp;HEIGHT=450&amp;WIDTH=450&amp;STAR","T_MAXIMIZED=FALSE&amp;VAR:CALENDAR=FIVEDAY&amp;VAR:SYMBOL=B1J1MT&amp;VAR:INDEX=0"}</definedName>
    <definedName name="_46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34"}</definedName>
    <definedName name="_469__FDSAUDITLINK__" hidden="1">{"fdsup://Directions/FactSet Auditing Viewer?action=AUDIT_VALUE&amp;DB=129&amp;ID1=B0D5V5&amp;VALUEID=05194&amp;SDATE=2010&amp;PERIODTYPE=ANN_STD&amp;SCFT=3&amp;window=popup_no_bar&amp;width=385&amp;height=120&amp;START_MAXIMIZED=FALSE&amp;creator=factset&amp;display_string=Audit"}</definedName>
    <definedName name="_47__123Graph_LBL_ACHART_4" hidden="1">#REF!</definedName>
    <definedName name="_47__123Graph_XChart_4" hidden="1">#REF!</definedName>
    <definedName name="_47__FDSAUDITLINK__" localSheetId="0" hidden="1">{"fdsup://IBCentral/FAT Viewer?action=UPDATE&amp;creator=factset&amp;DOC_NAME=fat:reuters_qtrly_source_window.fat&amp;display_string=Audit&amp;DYN_ARGS=TRUE&amp;VAR:ID1=692737&amp;VAR:RCODE=STLD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47__FDSAUDITLINK__" hidden="1">{"fdsup://directions/FAT Viewer?action=UPDATE&amp;creator=factset&amp;DYN_ARGS=TRUE&amp;DOC_NAME=FAT:FQL_AUDITING_CLIENT_TEMPLATE.FAT&amp;display_string=Audit&amp;VAR:KEY=CNMRINCREJ&amp;VAR:QUERY=RkZfR1JPU1NfTUdOKEFOTiwyMDEwKQ==&amp;WINDOW=FIRST_POPUP&amp;HEIGHT=450&amp;WIDTH=450&amp;START_MAXIMI","ZED=FALSE&amp;VAR:CALENDAR=FIVEDAY&amp;VAR:SYMBOL=B59Q6G&amp;VAR:INDEX=0"}</definedName>
    <definedName name="_47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33"}</definedName>
    <definedName name="_470__FDSAUDITLINK__" hidden="1">{"fdsup://directions/FAT Viewer?action=UPDATE&amp;creator=factset&amp;DYN_ARGS=TRUE&amp;DOC_NAME=FAT:FQL_AUDITING_CLIENT_TEMPLATE.FAT&amp;display_string=Audit&amp;VAR:KEY=DQBARAJWPM&amp;VAR:QUERY=RkZfRU5UUlBSX1ZBTF9EQUlMWSg0MDc3OSwsLCxVU0QsJ0RJTCcp&amp;WINDOW=FIRST_POPUP&amp;HEIGHT=450&amp;WI","DTH=450&amp;START_MAXIMIZED=FALSE&amp;VAR:CALENDAR=FIVEDAY&amp;VAR:SYMBOL=B0D5V5&amp;VAR:INDEX=0"}</definedName>
    <definedName name="_47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32"}</definedName>
    <definedName name="_471__FDSAUDITLINK__" hidden="1">{"fdsup://Directions/FactSet Auditing Viewer?action=AUDIT_VALUE&amp;DB=129&amp;ID1=B0D5V5&amp;VALUEID=01001&amp;SDATE=2009&amp;PERIODTYPE=ANN_STD&amp;SCFT=3&amp;window=popup_no_bar&amp;width=385&amp;height=120&amp;START_MAXIMIZED=FALSE&amp;creator=factset&amp;display_string=Audit"}</definedName>
    <definedName name="_47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31"}</definedName>
    <definedName name="_472__FDSAUDITLINK__" hidden="1">{"fdsup://Directions/FactSet Auditing Viewer?action=AUDIT_VALUE&amp;DB=129&amp;ID1=B0D5V5&amp;VALUEID=01001&amp;SDATE=2010&amp;PERIODTYPE=ANN_STD&amp;SCFT=3&amp;window=popup_no_bar&amp;width=385&amp;height=120&amp;START_MAXIMIZED=FALSE&amp;creator=factset&amp;display_string=Audit"}</definedName>
    <definedName name="_47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30"}</definedName>
    <definedName name="_473__FDSAUDITLINK__" hidden="1">{"fdsup://directions/FAT Viewer?action=UPDATE&amp;creator=factset&amp;DYN_ARGS=TRUE&amp;DOC_NAME=FAT:FQL_AUDITING_CLIENT_TEMPLATE.FAT&amp;display_string=Audit&amp;VAR:KEY=VKTIBSLOVW&amp;VAR:QUERY=RkZfRUJJVF9PUEVSKEFOTiwyMDA5LCwsLFVTRCk=&amp;WINDOW=FIRST_POPUP&amp;HEIGHT=450&amp;WIDTH=450&amp;STAR","T_MAXIMIZED=FALSE&amp;VAR:CALENDAR=FIVEDAY&amp;VAR:SYMBOL=B0D5V5&amp;VAR:INDEX=0"}</definedName>
    <definedName name="_47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29"}</definedName>
    <definedName name="_474__FDSAUDITLINK__" hidden="1">{"fdsup://directions/FAT Viewer?action=UPDATE&amp;creator=factset&amp;DYN_ARGS=TRUE&amp;DOC_NAME=FAT:FQL_AUDITING_CLIENT_TEMPLATE.FAT&amp;display_string=Audit&amp;VAR:KEY=FMHEXUTWLU&amp;VAR:QUERY=RkZfRUJJVF9PUEVSKEFOTiwyMDEwLCwsLFVTRCk=&amp;WINDOW=FIRST_POPUP&amp;HEIGHT=450&amp;WIDTH=450&amp;STAR","T_MAXIMIZED=FALSE&amp;VAR:CALENDAR=FIVEDAY&amp;VAR:SYMBOL=B0D5V5&amp;VAR:INDEX=0"}</definedName>
    <definedName name="_47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28"}</definedName>
    <definedName name="_475__FDSAUDITLINK__" hidden="1">{"fdsup://directions/FAT Viewer?action=UPDATE&amp;creator=factset&amp;DYN_ARGS=TRUE&amp;DOC_NAME=FAT:FQL_AUDITING_CLIENT_TEMPLATE.FAT&amp;display_string=Audit&amp;VAR:KEY=BMVYJELUBW&amp;VAR:QUERY=RkZfRUJJVERBX09QRVIoQU5OLDIwMDksLCwsVVNEKQ==&amp;WINDOW=FIRST_POPUP&amp;HEIGHT=450&amp;WIDTH=450&amp;","START_MAXIMIZED=FALSE&amp;VAR:CALENDAR=FIVEDAY&amp;VAR:SYMBOL=B0D5V5&amp;VAR:INDEX=0"}</definedName>
    <definedName name="_47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27"}</definedName>
    <definedName name="_476__FDSAUDITLINK__" hidden="1">{"fdsup://directions/FAT Viewer?action=UPDATE&amp;creator=factset&amp;DYN_ARGS=TRUE&amp;DOC_NAME=FAT:FQL_AUDITING_CLIENT_TEMPLATE.FAT&amp;display_string=Audit&amp;VAR:KEY=NWHEZWZSZU&amp;VAR:QUERY=RkZfRUJJVERBX09QRVIoQU5OLDIwMTAsLCwsVVNEKQ==&amp;WINDOW=FIRST_POPUP&amp;HEIGHT=450&amp;WIDTH=450&amp;","START_MAXIMIZED=FALSE&amp;VAR:CALENDAR=FIVEDAY&amp;VAR:SYMBOL=B0D5V5&amp;VAR:INDEX=0"}</definedName>
    <definedName name="_47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26"}</definedName>
    <definedName name="_477__FDSAUDITLINK__" hidden="1">{"fdsup://directions/FAT Viewer?action=UPDATE&amp;creator=factset&amp;DYN_ARGS=TRUE&amp;DOC_NAME=FAT:FQL_AUDITING_CLIENT_TEMPLATE.FAT&amp;display_string=Audit&amp;VAR:KEY=JIRWVEBUNK&amp;VAR:QUERY=RkZfTkVUX0lOQyhBTk4sMjAwOSwsLCxVU0Qp&amp;WINDOW=FIRST_POPUP&amp;HEIGHT=450&amp;WIDTH=450&amp;START_MA","XIMIZED=FALSE&amp;VAR:CALENDAR=FIVEDAY&amp;VAR:SYMBOL=B0D5V5&amp;VAR:INDEX=0"}</definedName>
    <definedName name="_47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25"}</definedName>
    <definedName name="_478__FDSAUDITLINK__" hidden="1">{"fdsup://directions/FAT Viewer?action=UPDATE&amp;creator=factset&amp;DYN_ARGS=TRUE&amp;DOC_NAME=FAT:FQL_AUDITING_CLIENT_TEMPLATE.FAT&amp;display_string=Audit&amp;VAR:KEY=PKTWBKTORS&amp;VAR:QUERY=RkZfTkVUX0lOQyhBTk4sMjAxMCwsLCxVU0Qp&amp;WINDOW=FIRST_POPUP&amp;HEIGHT=450&amp;WIDTH=450&amp;START_MA","XIMIZED=FALSE&amp;VAR:CALENDAR=FIVEDAY&amp;VAR:SYMBOL=B0D5V5&amp;VAR:INDEX=0"}</definedName>
    <definedName name="_47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"}</definedName>
    <definedName name="_479__FDSAUDITLINK__" hidden="1">{"fdsup://directions/FAT Viewer?action=UPDATE&amp;creator=factset&amp;DYN_ARGS=TRUE&amp;DOC_NAME=FAT:FQL_AUDITING_CLIENT_TEMPLATE.FAT&amp;display_string=Audit&amp;VAR:KEY=ZWHEXYNCDW&amp;VAR:QUERY=RkZfUEUoQU5OLDIwMDksLCwsVVNEKQ==&amp;WINDOW=FIRST_POPUP&amp;HEIGHT=450&amp;WIDTH=450&amp;START_MAXIMI","ZED=FALSE&amp;VAR:CALENDAR=FIVEDAY&amp;VAR:SYMBOL=B0D5V5&amp;VAR:INDEX=0"}</definedName>
    <definedName name="_48__123Graph_LBL_BCHART_2" hidden="1">#REF!</definedName>
    <definedName name="_48__123Graph_XChart_5" hidden="1">#REF!</definedName>
    <definedName name="_48__FDSAUDITLINK__" localSheetId="0" hidden="1">{"fdsup://IBCentral/FAT Viewer?action=UPDATE&amp;creator=factset&amp;DOC_NAME=fat:reuters_qtrly_source_window.fat&amp;display_string=Audit&amp;DYN_ARGS=TRUE&amp;VAR:ID1=692737&amp;VAR:RCODE=STLD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48__FDSAUDITLINK__" hidden="1">{"fdsup://directions/FAT Viewer?action=UPDATE&amp;creator=factset&amp;DYN_ARGS=TRUE&amp;DOC_NAME=FAT:FQL_AUDITING_CLIENT_TEMPLATE.FAT&amp;display_string=Audit&amp;VAR:KEY=QJOJQRGPGL&amp;VAR:QUERY=RkZfR1JPU1NfTUdOKEFOTiwyMDA5LCwsLFVTRCk=&amp;WINDOW=FIRST_POPUP&amp;HEIGHT=450&amp;WIDTH=450&amp;STAR","T_MAXIMIZED=FALSE&amp;VAR:CALENDAR=FIVEDAY&amp;VAR:SYMBOL=B59Q6G&amp;VAR:INDEX=0"}</definedName>
    <definedName name="_48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"}</definedName>
    <definedName name="_480__FDSAUDITLINK__" hidden="1">{"fdsup://directions/FAT Viewer?action=UPDATE&amp;creator=factset&amp;DYN_ARGS=TRUE&amp;DOC_NAME=FAT:FQL_AUDITING_CLIENT_TEMPLATE.FAT&amp;display_string=Audit&amp;VAR:KEY=DSTQRMDKBY&amp;VAR:QUERY=RkZfUEUoQU5OLDIwMTAsLCwsVVNEKQ==&amp;WINDOW=FIRST_POPUP&amp;HEIGHT=450&amp;WIDTH=450&amp;START_MAXIMI","ZED=FALSE&amp;VAR:CALENDAR=FIVEDAY&amp;VAR:SYMBOL=B0D5V5&amp;VAR:INDEX=0"}</definedName>
    <definedName name="_48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"}</definedName>
    <definedName name="_481__FDSAUDITLINK__" hidden="1">{"fdsup://directions/FAT Viewer?action=UPDATE&amp;creator=factset&amp;DYN_ARGS=TRUE&amp;DOC_NAME=FAT:FQL_AUDITING_CLIENT_TEMPLATE.FAT&amp;display_string=Audit&amp;VAR:KEY=DSNGRQLODG&amp;VAR:QUERY=RkZfRU5UUlBSX1ZBTF9FQklUX09QRVIoQU5OLDIwMDksLCwsVVNEKQ==&amp;WINDOW=FIRST_POPUP&amp;HEIGHT=45","0&amp;WIDTH=450&amp;START_MAXIMIZED=FALSE&amp;VAR:CALENDAR=FIVEDAY&amp;VAR:SYMBOL=B0D5V5&amp;VAR:INDEX=0"}</definedName>
    <definedName name="_48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"}</definedName>
    <definedName name="_482__FDSAUDITLINK__" hidden="1">{"fdsup://directions/FAT Viewer?action=UPDATE&amp;creator=factset&amp;DYN_ARGS=TRUE&amp;DOC_NAME=FAT:FQL_AUDITING_CLIENT_TEMPLATE.FAT&amp;display_string=Audit&amp;VAR:KEY=LATWDMBOJO&amp;VAR:QUERY=RkZfRU5UUlBSX1ZBTF9FQklUX09QRVIoQU5OLDIwMTAsLCwsVVNEKQ==&amp;WINDOW=FIRST_POPUP&amp;HEIGHT=45","0&amp;WIDTH=450&amp;START_MAXIMIZED=FALSE&amp;VAR:CALENDAR=FIVEDAY&amp;VAR:SYMBOL=B0D5V5&amp;VAR:INDEX=0"}</definedName>
    <definedName name="_48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"}</definedName>
    <definedName name="_483__FDSAUDITLINK__" hidden="1">{"fdsup://directions/FAT Viewer?action=UPDATE&amp;creator=factset&amp;DYN_ARGS=TRUE&amp;DOC_NAME=FAT:FQL_AUDITING_CLIENT_TEMPLATE.FAT&amp;display_string=Audit&amp;VAR:KEY=JYZCHOZQRU&amp;VAR:QUERY=RkZfRU5UUlBSX1ZBTF9FQklUREFfT1BFUihBTk4sMjAwOSwsLCxVU0Qp&amp;WINDOW=FIRST_POPUP&amp;HEIGHT=45","0&amp;WIDTH=450&amp;START_MAXIMIZED=FALSE&amp;VAR:CALENDAR=FIVEDAY&amp;VAR:SYMBOL=B0D5V5&amp;VAR:INDEX=0"}</definedName>
    <definedName name="_48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"}</definedName>
    <definedName name="_484__FDSAUDITLINK__" hidden="1">{"fdsup://directions/FAT Viewer?action=UPDATE&amp;creator=factset&amp;DYN_ARGS=TRUE&amp;DOC_NAME=FAT:FQL_AUDITING_CLIENT_TEMPLATE.FAT&amp;display_string=Audit&amp;VAR:KEY=JYPKFYXGHS&amp;VAR:QUERY=RkZfRU5UUlBSX1ZBTF9FQklUREFfT1BFUihBTk4sMjAxMCwsLCxVU0Qp&amp;WINDOW=FIRST_POPUP&amp;HEIGHT=45","0&amp;WIDTH=450&amp;START_MAXIMIZED=FALSE&amp;VAR:CALENDAR=FIVEDAY&amp;VAR:SYMBOL=B0D5V5&amp;VAR:INDEX=0"}</definedName>
    <definedName name="_48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"}</definedName>
    <definedName name="_485__FDSAUDITLINK__" hidden="1">{"fdsup://directions/FAT Viewer?action=UPDATE&amp;creator=factset&amp;DYN_ARGS=TRUE&amp;DOC_NAME=FAT:FQL_AUDITING_CLIENT_TEMPLATE.FAT&amp;display_string=Audit&amp;VAR:KEY=XULEDOVWHI&amp;VAR:QUERY=RkZfRU5UUlBSX1ZBTF9TQUxFUyhBTk4sMjAwOSwsLCxVU0Qp&amp;WINDOW=FIRST_POPUP&amp;HEIGHT=450&amp;WIDTH=","450&amp;START_MAXIMIZED=FALSE&amp;VAR:CALENDAR=FIVEDAY&amp;VAR:SYMBOL=B0D5V5&amp;VAR:INDEX=0"}</definedName>
    <definedName name="_48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"}</definedName>
    <definedName name="_486__FDSAUDITLINK__" hidden="1">{"fdsup://directions/FAT Viewer?action=UPDATE&amp;creator=factset&amp;DYN_ARGS=TRUE&amp;DOC_NAME=FAT:FQL_AUDITING_CLIENT_TEMPLATE.FAT&amp;display_string=Audit&amp;VAR:KEY=HULEDSNAVG&amp;VAR:QUERY=RkZfRU5UUlBSX1ZBTF9TQUxFUyhBTk4sMjAxMCwsLCxVU0Qp&amp;WINDOW=FIRST_POPUP&amp;HEIGHT=450&amp;WIDTH=","450&amp;START_MAXIMIZED=FALSE&amp;VAR:CALENDAR=FIVEDAY&amp;VAR:SYMBOL=B0D5V5&amp;VAR:INDEX=0"}</definedName>
    <definedName name="_48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"}</definedName>
    <definedName name="_487__FDSAUDITLINK__" hidden="1">{"fdsup://directions/FAT Viewer?action=UPDATE&amp;creator=factset&amp;DYN_ARGS=TRUE&amp;DOC_NAME=FAT:FQL_AUDITING_CLIENT_TEMPLATE.FAT&amp;display_string=Audit&amp;VAR:KEY=RSNSHWVMLW&amp;VAR:QUERY=RkZfR1JPU1NfTUdOKEFOTiwyMDA5LCwsLFVTRCk=&amp;WINDOW=FIRST_POPUP&amp;HEIGHT=450&amp;WIDTH=450&amp;STAR","T_MAXIMIZED=FALSE&amp;VAR:CALENDAR=FIVEDAY&amp;VAR:SYMBOL=B0D5V5&amp;VAR:INDEX=0"}</definedName>
    <definedName name="_48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"}</definedName>
    <definedName name="_488__FDSAUDITLINK__" hidden="1">{"fdsup://directions/FAT Viewer?action=UPDATE&amp;creator=factset&amp;DYN_ARGS=TRUE&amp;DOC_NAME=FAT:FQL_AUDITING_CLIENT_TEMPLATE.FAT&amp;display_string=Audit&amp;VAR:KEY=NCVKBQNINQ&amp;VAR:QUERY=RkZfR1JPU1NfTUdOKEFOTiwyMDEwKQ==&amp;WINDOW=FIRST_POPUP&amp;HEIGHT=450&amp;WIDTH=450&amp;START_MAXIMI","ZED=FALSE&amp;VAR:CALENDAR=FIVEDAY&amp;VAR:SYMBOL=B0D5V5&amp;VAR:INDEX=0"}</definedName>
    <definedName name="_48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"}</definedName>
    <definedName name="_489__FDSAUDITLINK__" hidden="1">{"fdsup://directions/FAT Viewer?action=UPDATE&amp;creator=factset&amp;DYN_ARGS=TRUE&amp;DOC_NAME=FAT:FQL_AUDITING_CLIENT_TEMPLATE.FAT&amp;display_string=Audit&amp;VAR:KEY=RSFQTEVUTQ&amp;VAR:QUERY=RkZfRUJJVF9PUEVSX01HTihBTk4sMjAwOSwsLCxVU0Qp&amp;WINDOW=FIRST_POPUP&amp;HEIGHT=450&amp;WIDTH=450&amp;","START_MAXIMIZED=FALSE&amp;VAR:CALENDAR=FIVEDAY&amp;VAR:SYMBOL=B0D5V5&amp;VAR:INDEX=0"}</definedName>
    <definedName name="_49__123Graph_XChart_6" hidden="1">#REF!</definedName>
    <definedName name="_49__FDSAUDITLINK__" localSheetId="0" hidden="1">{"fdsup://Directions/FactSet Auditing Viewer?action=AUDIT_VALUE&amp;DB=129&amp;ID1=692737&amp;VALUEID=04601&amp;SDATE=2009&amp;PERIODTYPE=ANN_STD&amp;window=popup_no_bar&amp;width=385&amp;height=120&amp;START_MAXIMIZED=FALSE&amp;creator=factset&amp;display_string=Audit"}</definedName>
    <definedName name="_49__FDSAUDITLINK__" hidden="1">{"fdsup://directions/FAT Viewer?action=UPDATE&amp;creator=factset&amp;DYN_ARGS=TRUE&amp;DOC_NAME=FAT:FQL_AUDITING_CLIENT_TEMPLATE.FAT&amp;display_string=Audit&amp;VAR:KEY=SHGPITCZKP&amp;VAR:QUERY=RkZfR1JPU1NfTUdOKEFOTiwyMDEwKQ==&amp;WINDOW=FIRST_POPUP&amp;HEIGHT=450&amp;WIDTH=450&amp;START_MAXIMI","ZED=FALSE&amp;VAR:CALENDAR=FIVEDAY&amp;VAR:SYMBOL=B59F84&amp;VAR:INDEX=0"}</definedName>
    <definedName name="_49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"}</definedName>
    <definedName name="_490__FDSAUDITLINK__" hidden="1">{"fdsup://directions/FAT Viewer?action=UPDATE&amp;creator=factset&amp;DYN_ARGS=TRUE&amp;DOC_NAME=FAT:FQL_AUDITING_CLIENT_TEMPLATE.FAT&amp;display_string=Audit&amp;VAR:KEY=FQLEFIPUZW&amp;VAR:QUERY=RkZfRUJJVF9PUEVSX01HTihBTk4sMjAxMCk=&amp;WINDOW=FIRST_POPUP&amp;HEIGHT=450&amp;WIDTH=450&amp;START_MA","XIMIZED=FALSE&amp;VAR:CALENDAR=FIVEDAY&amp;VAR:SYMBOL=B0D5V5&amp;VAR:INDEX=0"}</definedName>
    <definedName name="_49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"}</definedName>
    <definedName name="_491__FDSAUDITLINK__" hidden="1">{"fdsup://directions/FAT Viewer?action=UPDATE&amp;creator=factset&amp;DYN_ARGS=TRUE&amp;DOC_NAME=FAT:FQL_AUDITING_CLIENT_TEMPLATE.FAT&amp;display_string=Audit&amp;VAR:KEY=XUTQNIVOJK&amp;VAR:QUERY=RkZfRUJJVERBX09QRVJfTUdOKEFOTiwyMDA5LCwsLFVTRCk=&amp;WINDOW=FIRST_POPUP&amp;HEIGHT=450&amp;WIDTH=","450&amp;START_MAXIMIZED=FALSE&amp;VAR:CALENDAR=FIVEDAY&amp;VAR:SYMBOL=B0D5V5&amp;VAR:INDEX=0"}</definedName>
    <definedName name="_49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"}</definedName>
    <definedName name="_492__FDSAUDITLINK__" hidden="1">{"fdsup://directions/FAT Viewer?action=UPDATE&amp;creator=factset&amp;DYN_ARGS=TRUE&amp;DOC_NAME=FAT:FQL_AUDITING_CLIENT_TEMPLATE.FAT&amp;display_string=Audit&amp;VAR:KEY=TCDENCHSZW&amp;VAR:QUERY=RkZfRUJJVERBX09QRVJfTUdOKEFOTiwyMDEwKQ==&amp;WINDOW=FIRST_POPUP&amp;HEIGHT=450&amp;WIDTH=450&amp;STAR","T_MAXIMIZED=FALSE&amp;VAR:CALENDAR=FIVEDAY&amp;VAR:SYMBOL=B0D5V5&amp;VAR:INDEX=0"}</definedName>
    <definedName name="_49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"}</definedName>
    <definedName name="_493__FDSAUDITLINK__" hidden="1">{"fdsup://directions/FAT Viewer?action=UPDATE&amp;creator=factset&amp;DYN_ARGS=TRUE&amp;DOC_NAME=FAT:FQL_AUDITING_CLIENT_TEMPLATE.FAT&amp;display_string=Audit&amp;VAR:KEY=ZADILMZINS&amp;VAR:QUERY=RkZfRU5UUlBSX1ZBTF9EQUlMWSg0MDc3OSwsLCxVU0QsJ0RJTCcp&amp;WINDOW=FIRST_POPUP&amp;HEIGHT=450&amp;WI","DTH=450&amp;START_MAXIMIZED=FALSE&amp;VAR:CALENDAR=FIVEDAY&amp;VAR:SYMBOL=B1VZKH&amp;VAR:INDEX=0"}</definedName>
    <definedName name="_49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"}</definedName>
    <definedName name="_494__FDSAUDITLINK__" hidden="1">{"fdsup://directions/FAT Viewer?action=UPDATE&amp;creator=factset&amp;DYN_ARGS=TRUE&amp;DOC_NAME=FAT:FQL_AUDITING_CLIENT_TEMPLATE.FAT&amp;display_string=Audit&amp;VAR:KEY=FGRUXIDUDM&amp;VAR:QUERY=RkZfRUJJVERBX09QRVIoQU5OLDIwMDksLCwsVVNEKQ==&amp;WINDOW=FIRST_POPUP&amp;HEIGHT=450&amp;WIDTH=450&amp;","START_MAXIMIZED=FALSE&amp;VAR:CALENDAR=FIVEDAY&amp;VAR:SYMBOL=B1VZKH&amp;VAR:INDEX=0"}</definedName>
    <definedName name="_49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"}</definedName>
    <definedName name="_495__FDSAUDITLINK__" hidden="1">{"fdsup://directions/FAT Viewer?action=UPDATE&amp;creator=factset&amp;DYN_ARGS=TRUE&amp;DOC_NAME=FAT:FQL_AUDITING_CLIENT_TEMPLATE.FAT&amp;display_string=Audit&amp;VAR:KEY=DONYVQBOXC&amp;VAR:QUERY=RkZfRUJJVERBX09QRVIoQU5OLDIwMTAsLCwsVVNEKQ==&amp;WINDOW=FIRST_POPUP&amp;HEIGHT=450&amp;WIDTH=450&amp;","START_MAXIMIZED=FALSE&amp;VAR:CALENDAR=FIVEDAY&amp;VAR:SYMBOL=B1VZKH&amp;VAR:INDEX=0"}</definedName>
    <definedName name="_49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"}</definedName>
    <definedName name="_496__FDSAUDITLINK__" hidden="1">{"fdsup://directions/FAT Viewer?action=UPDATE&amp;creator=factset&amp;DYN_ARGS=TRUE&amp;DOC_NAME=FAT:FQL_AUDITING_CLIENT_TEMPLATE.FAT&amp;display_string=Audit&amp;VAR:KEY=HOHCJMNCLY&amp;VAR:QUERY=RkZfTkVUX0lOQyhBTk4sMjAwOSwsLCxVU0Qp&amp;WINDOW=FIRST_POPUP&amp;HEIGHT=450&amp;WIDTH=450&amp;START_MA","XIMIZED=FALSE&amp;VAR:CALENDAR=FIVEDAY&amp;VAR:SYMBOL=B1VZKH&amp;VAR:INDEX=0"}</definedName>
    <definedName name="_49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"}</definedName>
    <definedName name="_497__FDSAUDITLINK__" hidden="1">{"fdsup://directions/FAT Viewer?action=UPDATE&amp;creator=factset&amp;DYN_ARGS=TRUE&amp;DOC_NAME=FAT:FQL_AUDITING_CLIENT_TEMPLATE.FAT&amp;display_string=Audit&amp;VAR:KEY=DUDKBGROZK&amp;VAR:QUERY=RkZfTkVUX0lOQyhBTk4sMjAxMCwsLCxVU0Qp&amp;WINDOW=FIRST_POPUP&amp;HEIGHT=450&amp;WIDTH=450&amp;START_MA","XIMIZED=FALSE&amp;VAR:CALENDAR=FIVEDAY&amp;VAR:SYMBOL=B1VZKH&amp;VAR:INDEX=0"}</definedName>
    <definedName name="_49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"}</definedName>
    <definedName name="_498__FDSAUDITLINK__" hidden="1">{"fdsup://directions/FAT Viewer?action=UPDATE&amp;creator=factset&amp;DYN_ARGS=TRUE&amp;DOC_NAME=FAT:FQL_AUDITING_CLIENT_TEMPLATE.FAT&amp;display_string=Audit&amp;VAR:KEY=NKHSZIHMXA&amp;VAR:QUERY=RkZfUEUoQU5OLDIwMDksLCwsVVNEKQ==&amp;WINDOW=FIRST_POPUP&amp;HEIGHT=450&amp;WIDTH=450&amp;START_MAXIMI","ZED=FALSE&amp;VAR:CALENDAR=FIVEDAY&amp;VAR:SYMBOL=B1VZKH&amp;VAR:INDEX=0"}</definedName>
    <definedName name="_49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"}</definedName>
    <definedName name="_499__FDSAUDITLINK__" hidden="1">{"fdsup://directions/FAT Viewer?action=UPDATE&amp;creator=factset&amp;DYN_ARGS=TRUE&amp;DOC_NAME=FAT:FQL_AUDITING_CLIENT_TEMPLATE.FAT&amp;display_string=Audit&amp;VAR:KEY=TWBITGFORM&amp;VAR:QUERY=RkZfUEUoQU5OLDIwMTAsLCwsVVNEKQ==&amp;WINDOW=FIRST_POPUP&amp;HEIGHT=450&amp;WIDTH=450&amp;START_MAXIMI","ZED=FALSE&amp;VAR:CALENDAR=FIVEDAY&amp;VAR:SYMBOL=B1VZKH&amp;VAR:INDEX=0"}</definedName>
    <definedName name="_4AG4_" localSheetId="0" hidden="1">{#N/A,#N/A,FALSE,"TAXC.INDEX";#N/A,#N/A,FALSE,"Schedule I";#N/A,#N/A,FALSE,"Schedule  II";#N/A,#N/A,FALSE,"Schedule III"}</definedName>
    <definedName name="_4AG4_" hidden="1">{#N/A,#N/A,FALSE,"TAXC.INDEX";#N/A,#N/A,FALSE,"Schedule I";#N/A,#N/A,FALSE,"Schedule  II";#N/A,#N/A,FALSE,"Schedule III"}</definedName>
    <definedName name="_5__123Graph_ACHART_2" hidden="1">#REF!</definedName>
    <definedName name="_5__123Graph_ACHART_4" hidden="1">#REF!</definedName>
    <definedName name="_5__123Graph_ALIQUIDS" hidden="1">#REF!</definedName>
    <definedName name="_5__123Graph_BCHART_1" localSheetId="0" hidden="1">#REF!</definedName>
    <definedName name="_5__123Graph_BCHART_1" hidden="1">#REF!</definedName>
    <definedName name="_5__123Graph_BCHART_11" hidden="1">#REF!</definedName>
    <definedName name="_5__FDSAUDITLINK__" localSheetId="0" hidden="1">{"fdsup://Directions/FactSet Auditing Viewer?action=AUDIT_VALUE&amp;DB=129&amp;ID1=692737&amp;VALUEID=01551&amp;SDATE=2008&amp;PERIODTYPE=ANN_STD&amp;window=popup_no_bar&amp;width=385&amp;height=120&amp;START_MAXIMIZED=FALSE&amp;creator=factset&amp;display_string=Audit"}</definedName>
    <definedName name="_5__FDSAUDITLINK__" hidden="1">{"fdsup://IBCentral/FAT Viewer?action=UPDATE&amp;creator=factset&amp;DOC_NAME=fat:reuters_annual_source_window.fat&amp;display_string=Audit&amp;DYN_ARGS=TRUE&amp;VAR:ID1=B450Z4&amp;VAR:RCODE=FDSREVSTOTAL&amp;VAR:SDATE=0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123Graph_ACHART_1" hidden="1">#REF!</definedName>
    <definedName name="_50__123Graph_XGROWTH_9" hidden="1">#REF!</definedName>
    <definedName name="_50__FDSAUDITLINK__" localSheetId="0" hidden="1">{"fdsup://Directions/FactSet Auditing Viewer?action=AUDIT_VALUE&amp;DB=129&amp;ID1=692737&amp;VALUEID=04601&amp;SDATE=2008&amp;PERIODTYPE=ANN_STD&amp;window=popup_no_bar&amp;width=385&amp;height=120&amp;START_MAXIMIZED=FALSE&amp;creator=factset&amp;display_string=Audit"}</definedName>
    <definedName name="_50__FDSAUDITLINK__" hidden="1">{"fdsup://directions/FAT Viewer?action=UPDATE&amp;creator=factset&amp;DYN_ARGS=TRUE&amp;DOC_NAME=FAT:FQL_AUDITING_CLIENT_TEMPLATE.FAT&amp;display_string=Audit&amp;VAR:KEY=SNCFIBGHOF&amp;VAR:QUERY=RkZfR1JPU1NfTUdOKEFOTiwyMDA5LCwsLFVTRCk=&amp;WINDOW=FIRST_POPUP&amp;HEIGHT=450&amp;WIDTH=450&amp;STAR","T_MAXIMIZED=FALSE&amp;VAR:CALENDAR=FIVEDAY&amp;VAR:SYMBOL=B59F84&amp;VAR:INDEX=0"}</definedName>
    <definedName name="_50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"}</definedName>
    <definedName name="_500__FDSAUDITLINK__" hidden="1">{"fdsup://directions/FAT Viewer?action=UPDATE&amp;creator=factset&amp;DYN_ARGS=TRUE&amp;DOC_NAME=FAT:FQL_AUDITING_CLIENT_TEMPLATE.FAT&amp;display_string=Audit&amp;VAR:KEY=VWNQXYJELG&amp;VAR:QUERY=RkZfRU5UUlBSX1ZBTF9FQklUX09QRVIoQU5OLDIwMDksLCwsVVNEKQ==&amp;WINDOW=FIRST_POPUP&amp;HEIGHT=45","0&amp;WIDTH=450&amp;START_MAXIMIZED=FALSE&amp;VAR:CALENDAR=FIVEDAY&amp;VAR:SYMBOL=B1VZKH&amp;VAR:INDEX=0"}</definedName>
    <definedName name="_50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"}</definedName>
    <definedName name="_501__FDSAUDITLINK__" hidden="1">{"fdsup://directions/FAT Viewer?action=UPDATE&amp;creator=factset&amp;DYN_ARGS=TRUE&amp;DOC_NAME=FAT:FQL_AUDITING_CLIENT_TEMPLATE.FAT&amp;display_string=Audit&amp;VAR:KEY=RYZQPEJIVK&amp;VAR:QUERY=RkZfRU5UUlBSX1ZBTF9FQklUX09QRVIoQU5OLDIwMTAsLCwsVVNEKQ==&amp;WINDOW=FIRST_POPUP&amp;HEIGHT=45","0&amp;WIDTH=450&amp;START_MAXIMIZED=FALSE&amp;VAR:CALENDAR=FIVEDAY&amp;VAR:SYMBOL=B1VZKH&amp;VAR:INDEX=0"}</definedName>
    <definedName name="_50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"}</definedName>
    <definedName name="_502__FDSAUDITLINK__" hidden="1">{"fdsup://directions/FAT Viewer?action=UPDATE&amp;creator=factset&amp;DYN_ARGS=TRUE&amp;DOC_NAME=FAT:FQL_AUDITING_CLIENT_TEMPLATE.FAT&amp;display_string=Audit&amp;VAR:KEY=HQTGDIPWDO&amp;VAR:QUERY=RkZfRU5UUlBSX1ZBTF9FQklUREFfT1BFUihBTk4sMjAwOSwsLCxVU0Qp&amp;WINDOW=FIRST_POPUP&amp;HEIGHT=45","0&amp;WIDTH=450&amp;START_MAXIMIZED=FALSE&amp;VAR:CALENDAR=FIVEDAY&amp;VAR:SYMBOL=B1VZKH&amp;VAR:INDEX=0"}</definedName>
    <definedName name="_50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0"}</definedName>
    <definedName name="_503__FDSAUDITLINK__" hidden="1">{"fdsup://directions/FAT Viewer?action=UPDATE&amp;creator=factset&amp;DYN_ARGS=TRUE&amp;DOC_NAME=FAT:FQL_AUDITING_CLIENT_TEMPLATE.FAT&amp;display_string=Audit&amp;VAR:KEY=ZURKDYFGJA&amp;VAR:QUERY=RkZfRU5UUlBSX1ZBTF9FQklUREFfT1BFUihBTk4sMjAxMCwsLCxVU0Qp&amp;WINDOW=FIRST_POPUP&amp;HEIGHT=45","0&amp;WIDTH=450&amp;START_MAXIMIZED=FALSE&amp;VAR:CALENDAR=FIVEDAY&amp;VAR:SYMBOL=B1VZKH&amp;VAR:INDEX=0"}</definedName>
    <definedName name="_50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251"}</definedName>
    <definedName name="_504__FDSAUDITLINK__" hidden="1">{"fdsup://directions/FAT Viewer?action=UPDATE&amp;creator=factset&amp;DYN_ARGS=TRUE&amp;DOC_NAME=FAT:FQL_AUDITING_CLIENT_TEMPLATE.FAT&amp;display_string=Audit&amp;VAR:KEY=NMZEFWRITW&amp;VAR:QUERY=RkZfRU5UUlBSX1ZBTF9TQUxFUyhBTk4sMjAwOSwsLCxVU0Qp&amp;WINDOW=FIRST_POPUP&amp;HEIGHT=450&amp;WIDTH=","450&amp;START_MAXIMIZED=FALSE&amp;VAR:CALENDAR=FIVEDAY&amp;VAR:SYMBOL=B1VZKH&amp;VAR:INDEX=0"}</definedName>
    <definedName name="_50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250"}</definedName>
    <definedName name="_505__FDSAUDITLINK__" hidden="1">{"fdsup://directions/FAT Viewer?action=UPDATE&amp;creator=factset&amp;DYN_ARGS=TRUE&amp;DOC_NAME=FAT:FQL_AUDITING_CLIENT_TEMPLATE.FAT&amp;display_string=Audit&amp;VAR:KEY=FUTUHYZYPG&amp;VAR:QUERY=RkZfRU5UUlBSX1ZBTF9TQUxFUyhBTk4sMjAxMCwsLCxVU0Qp&amp;WINDOW=FIRST_POPUP&amp;HEIGHT=450&amp;WIDTH=","450&amp;START_MAXIMIZED=FALSE&amp;VAR:CALENDAR=FIVEDAY&amp;VAR:SYMBOL=B1VZKH&amp;VAR:INDEX=0"}</definedName>
    <definedName name="_50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249"}</definedName>
    <definedName name="_506__FDSAUDITLINK__" hidden="1">{"fdsup://directions/FAT Viewer?action=UPDATE&amp;creator=factset&amp;DYN_ARGS=TRUE&amp;DOC_NAME=FAT:FQL_AUDITING_CLIENT_TEMPLATE.FAT&amp;display_string=Audit&amp;VAR:KEY=VATUFMXCZI&amp;VAR:QUERY=RkZfR1JPU1NfTUdOKEFOTiwyMDA5LCwsLFVTRCk=&amp;WINDOW=FIRST_POPUP&amp;HEIGHT=450&amp;WIDTH=450&amp;STAR","T_MAXIMIZED=FALSE&amp;VAR:CALENDAR=FIVEDAY&amp;VAR:SYMBOL=B1VZKH&amp;VAR:INDEX=0"}</definedName>
    <definedName name="_50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248"}</definedName>
    <definedName name="_507__FDSAUDITLINK__" hidden="1">{"fdsup://directions/FAT Viewer?action=UPDATE&amp;creator=factset&amp;DYN_ARGS=TRUE&amp;DOC_NAME=FAT:FQL_AUDITING_CLIENT_TEMPLATE.FAT&amp;display_string=Audit&amp;VAR:KEY=XSHWVEBERU&amp;VAR:QUERY=RkZfR1JPU1NfTUdOKEFOTiwyMDEwKQ==&amp;WINDOW=FIRST_POPUP&amp;HEIGHT=450&amp;WIDTH=450&amp;START_MAXIMI","ZED=FALSE&amp;VAR:CALENDAR=FIVEDAY&amp;VAR:SYMBOL=B1VZKH&amp;VAR:INDEX=0"}</definedName>
    <definedName name="_50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247"}</definedName>
    <definedName name="_508__FDSAUDITLINK__" hidden="1">{"fdsup://directions/FAT Viewer?action=UPDATE&amp;creator=factset&amp;DYN_ARGS=TRUE&amp;DOC_NAME=FAT:FQL_AUDITING_CLIENT_TEMPLATE.FAT&amp;display_string=Audit&amp;VAR:KEY=XCVUJQPCJC&amp;VAR:QUERY=RkZfRUJJVF9PUEVSX01HTihBTk4sMjAwOSwsLCxVU0Qp&amp;WINDOW=FIRST_POPUP&amp;HEIGHT=450&amp;WIDTH=450&amp;","START_MAXIMIZED=FALSE&amp;VAR:CALENDAR=FIVEDAY&amp;VAR:SYMBOL=B1VZKH&amp;VAR:INDEX=0"}</definedName>
    <definedName name="_50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246"}</definedName>
    <definedName name="_509__FDSAUDITLINK__" hidden="1">{"fdsup://directions/FAT Viewer?action=UPDATE&amp;creator=factset&amp;DYN_ARGS=TRUE&amp;DOC_NAME=FAT:FQL_AUDITING_CLIENT_TEMPLATE.FAT&amp;display_string=Audit&amp;VAR:KEY=JGXEREDEBG&amp;VAR:QUERY=RkZfRUJJVF9PUEVSX01HTihBTk4sMjAxMCk=&amp;WINDOW=FIRST_POPUP&amp;HEIGHT=450&amp;WIDTH=450&amp;START_MA","XIMIZED=FALSE&amp;VAR:CALENDAR=FIVEDAY&amp;VAR:SYMBOL=B1VZKH&amp;VAR:INDEX=0"}</definedName>
    <definedName name="_51__FDSAUDITLINK__" localSheetId="0" hidden="1">{"fdsup://Directions/FactSet Auditing Viewer?action=AUDIT_VALUE&amp;DB=129&amp;ID1=692737&amp;VALUEID=04601&amp;SDATE=2007&amp;PERIODTYPE=ANN_STD&amp;window=popup_no_bar&amp;width=385&amp;height=120&amp;START_MAXIMIZED=FALSE&amp;creator=factset&amp;display_string=Audit"}</definedName>
    <definedName name="_51__FDSAUDITLINK__" hidden="1">{"fdsup://directions/FAT Viewer?action=UPDATE&amp;creator=factset&amp;DYN_ARGS=TRUE&amp;DOC_NAME=FAT:FQL_AUDITING_CLIENT_TEMPLATE.FAT&amp;display_string=Audit&amp;VAR:KEY=WVCJSDMHGT&amp;VAR:QUERY=RkZfR1JPU1NfTUdOKEFOTiwyMDEwKQ==&amp;WINDOW=FIRST_POPUP&amp;HEIGHT=450&amp;WIDTH=450&amp;START_MAXIMI","ZED=FALSE&amp;VAR:CALENDAR=FIVEDAY&amp;VAR:SYMBOL=B5B8GW&amp;VAR:INDEX=0"}</definedName>
    <definedName name="_51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245"}</definedName>
    <definedName name="_510__FDSAUDITLINK__" hidden="1">{"fdsup://directions/FAT Viewer?action=UPDATE&amp;creator=factset&amp;DYN_ARGS=TRUE&amp;DOC_NAME=FAT:FQL_AUDITING_CLIENT_TEMPLATE.FAT&amp;display_string=Audit&amp;VAR:KEY=LUVKTELABW&amp;VAR:QUERY=RkZfRUJJVERBX09QRVJfTUdOKEFOTiwyMDA5LCwsLFVTRCk=&amp;WINDOW=FIRST_POPUP&amp;HEIGHT=450&amp;WIDTH=","450&amp;START_MAXIMIZED=FALSE&amp;VAR:CALENDAR=FIVEDAY&amp;VAR:SYMBOL=B1VZKH&amp;VAR:INDEX=0"}</definedName>
    <definedName name="_51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244"}</definedName>
    <definedName name="_511__FDSAUDITLINK__" hidden="1">{"fdsup://directions/FAT Viewer?action=UPDATE&amp;creator=factset&amp;DYN_ARGS=TRUE&amp;DOC_NAME=FAT:FQL_AUDITING_CLIENT_TEMPLATE.FAT&amp;display_string=Audit&amp;VAR:KEY=PATMFUTWBE&amp;VAR:QUERY=RkZfRUJJVERBX09QRVJfTUdOKEFOTiwyMDEwKQ==&amp;WINDOW=FIRST_POPUP&amp;HEIGHT=450&amp;WIDTH=450&amp;STAR","T_MAXIMIZED=FALSE&amp;VAR:CALENDAR=FIVEDAY&amp;VAR:SYMBOL=B1VZKH&amp;VAR:INDEX=0"}</definedName>
    <definedName name="_51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243"}</definedName>
    <definedName name="_512__FDSAUDITLINK__" hidden="1">{"fdsup://directions/FAT Viewer?action=UPDATE&amp;creator=factset&amp;DYN_ARGS=TRUE&amp;DOC_NAME=FAT:FQL_AUDITING_CLIENT_TEMPLATE.FAT&amp;display_string=Audit&amp;VAR:KEY=OROXQDYDAX&amp;VAR:QUERY=RkZfRUJJVF9PUEVSX01HTihBTk4sMjAxMCk=&amp;WINDOW=FIRST_POPUP&amp;HEIGHT=450&amp;WIDTH=450&amp;START_MA","XIMIZED=FALSE&amp;VAR:CALENDAR=FIVEDAY&amp;VAR:SYMBOL=464330&amp;VAR:INDEX=0"}</definedName>
    <definedName name="_51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242"}</definedName>
    <definedName name="_513__FDSAUDITLINK__" hidden="1">{"fdsup://directions/FAT Viewer?action=UPDATE&amp;creator=factset&amp;DYN_ARGS=TRUE&amp;DOC_NAME=FAT:FQL_AUDITING_CLIENT_TEMPLATE.FAT&amp;display_string=Audit&amp;VAR:KEY=QLCLGJUJUX&amp;VAR:QUERY=RkZfRUJJVF9PUEVSX01HTihBTk4sMjAwOSwsLCxVU0Qp&amp;WINDOW=FIRST_POPUP&amp;HEIGHT=450&amp;WIDTH=450&amp;","START_MAXIMIZED=FALSE&amp;VAR:CALENDAR=FIVEDAY&amp;VAR:SYMBOL=464330&amp;VAR:INDEX=0"}</definedName>
    <definedName name="_51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241"}</definedName>
    <definedName name="_514__FDSAUDITLINK__" hidden="1">{"fdsup://directions/FAT Viewer?action=UPDATE&amp;creator=factset&amp;DYN_ARGS=TRUE&amp;DOC_NAME=FAT:FQL_AUDITING_CLIENT_TEMPLATE.FAT&amp;display_string=Audit&amp;VAR:KEY=CLSBADEBMN&amp;VAR:QUERY=RkZfRUJJVF9PUEVSX01HTihBTk4sMjAxMCk=&amp;WINDOW=FIRST_POPUP&amp;HEIGHT=450&amp;WIDTH=450&amp;START_MA","XIMIZED=FALSE&amp;VAR:CALENDAR=FIVEDAY&amp;VAR:SYMBOL=561112&amp;VAR:INDEX=0"}</definedName>
    <definedName name="_51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240"}</definedName>
    <definedName name="_515__FDSAUDITLINK__" hidden="1">{"fdsup://directions/FAT Viewer?action=UPDATE&amp;creator=factset&amp;DYN_ARGS=TRUE&amp;DOC_NAME=FAT:FQL_AUDITING_CLIENT_TEMPLATE.FAT&amp;display_string=Audit&amp;VAR:KEY=CVWVCXSPGX&amp;VAR:QUERY=RkZfRUJJVF9PUEVSX01HTihBTk4sMjAwOSwsLCxVU0Qp&amp;WINDOW=FIRST_POPUP&amp;HEIGHT=450&amp;WIDTH=450&amp;","START_MAXIMIZED=FALSE&amp;VAR:CALENDAR=FIVEDAY&amp;VAR:SYMBOL=561112&amp;VAR:INDEX=0"}</definedName>
    <definedName name="_51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239"}</definedName>
    <definedName name="_516__FDSAUDITLINK__" hidden="1">{"fdsup://directions/FAT Viewer?action=UPDATE&amp;creator=factset&amp;DYN_ARGS=TRUE&amp;DOC_NAME=FAT:FQL_AUDITING_CLIENT_TEMPLATE.FAT&amp;display_string=Audit&amp;VAR:KEY=KRWBWPYJQJ&amp;VAR:QUERY=RkZfR1JPU1NfTUdOKEFOTiwyMDEwKQ==&amp;WINDOW=FIRST_POPUP&amp;HEIGHT=450&amp;WIDTH=450&amp;START_MAXIMI","ZED=FALSE&amp;VAR:CALENDAR=FIVEDAY&amp;VAR:SYMBOL=464330&amp;VAR:INDEX=0"}</definedName>
    <definedName name="_51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238"}</definedName>
    <definedName name="_517__FDSAUDITLINK__" hidden="1">{"fdsup://directions/FAT Viewer?action=UPDATE&amp;creator=factset&amp;DYN_ARGS=TRUE&amp;DOC_NAME=FAT:FQL_AUDITING_CLIENT_TEMPLATE.FAT&amp;display_string=Audit&amp;VAR:KEY=WBYDQBYRGN&amp;VAR:QUERY=RkZfR1JPU1NfTUdOKEFOTiwyMDA5LCwsLFVTRCk=&amp;WINDOW=FIRST_POPUP&amp;HEIGHT=450&amp;WIDTH=450&amp;STAR","T_MAXIMIZED=FALSE&amp;VAR:CALENDAR=FIVEDAY&amp;VAR:SYMBOL=464330&amp;VAR:INDEX=0"}</definedName>
    <definedName name="_51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237"}</definedName>
    <definedName name="_518__FDSAUDITLINK__" hidden="1">{"fdsup://directions/FAT Viewer?action=UPDATE&amp;creator=factset&amp;DYN_ARGS=TRUE&amp;DOC_NAME=FAT:FQL_AUDITING_CLIENT_TEMPLATE.FAT&amp;display_string=Audit&amp;VAR:KEY=INIDUNITCH&amp;VAR:QUERY=RkZfR1JPU1NfTUdOKEFOTiwyMDEwKQ==&amp;WINDOW=FIRST_POPUP&amp;HEIGHT=450&amp;WIDTH=450&amp;START_MAXIMI","ZED=FALSE&amp;VAR:CALENDAR=FIVEDAY&amp;VAR:SYMBOL=561112&amp;VAR:INDEX=0"}</definedName>
    <definedName name="_51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236"}</definedName>
    <definedName name="_519__FDSAUDITLINK__" hidden="1">{"fdsup://directions/FAT Viewer?action=UPDATE&amp;creator=factset&amp;DYN_ARGS=TRUE&amp;DOC_NAME=FAT:FQL_AUDITING_CLIENT_TEMPLATE.FAT&amp;display_string=Audit&amp;VAR:KEY=UDADIPCVAT&amp;VAR:QUERY=RkZfR1JPU1NfTUdOKEFOTiwyMDA5LCwsLFVTRCk=&amp;WINDOW=FIRST_POPUP&amp;HEIGHT=450&amp;WIDTH=450&amp;STAR","T_MAXIMIZED=FALSE&amp;VAR:CALENDAR=FIVEDAY&amp;VAR:SYMBOL=561112&amp;VAR:INDEX=0"}</definedName>
    <definedName name="_52__123Graph_A_Chart_1A" hidden="1">#REF!</definedName>
    <definedName name="_52__123Graph_BCHART_1" hidden="1">#REF!</definedName>
    <definedName name="_52__FDSAUDITLINK__" localSheetId="0" hidden="1">{"fdsup://Directions/FactSet Auditing Viewer?action=AUDIT_VALUE&amp;DB=129&amp;ID1=692737&amp;VALUEID=01551&amp;SDATE=2009&amp;PERIODTYPE=ANN_STD&amp;window=popup_no_bar&amp;width=385&amp;height=120&amp;START_MAXIMIZED=FALSE&amp;creator=factset&amp;display_string=Audit"}</definedName>
    <definedName name="_52__FDSAUDITLINK__" hidden="1">{"fdsup://directions/FAT Viewer?action=UPDATE&amp;creator=factset&amp;DYN_ARGS=TRUE&amp;DOC_NAME=FAT:FQL_AUDITING_CLIENT_TEMPLATE.FAT&amp;display_string=Audit&amp;VAR:KEY=STIHGLMNYF&amp;VAR:QUERY=RkZfR1JPU1NfTUdOKEFOTiwyMDA5LCwsLFVTRCk=&amp;WINDOW=FIRST_POPUP&amp;HEIGHT=450&amp;WIDTH=450&amp;STAR","T_MAXIMIZED=FALSE&amp;VAR:CALENDAR=FIVEDAY&amp;VAR:SYMBOL=B5B8GW&amp;VAR:INDEX=0"}</definedName>
    <definedName name="_52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235"}</definedName>
    <definedName name="_520__FDSAUDITLINK__" hidden="1">{"fdsup://directions/FAT Viewer?action=UPDATE&amp;creator=factset&amp;DYN_ARGS=TRUE&amp;DOC_NAME=FAT:FQL_AUDITING_CLIENT_TEMPLATE.FAT&amp;display_string=Audit&amp;VAR:KEY=OZMZUDYTGD&amp;VAR:QUERY=RkZfRU5UUlBSX1ZBTF9TQUxFUyhBTk4sMjAxMCwsLCxVU0Qp&amp;WINDOW=FIRST_POPUP&amp;HEIGHT=450&amp;WIDTH=","450&amp;START_MAXIMIZED=FALSE&amp;VAR:CALENDAR=FIVEDAY&amp;VAR:SYMBOL=464330&amp;VAR:INDEX=0"}</definedName>
    <definedName name="_52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234"}</definedName>
    <definedName name="_521__FDSAUDITLINK__" hidden="1">{"fdsup://directions/FAT Viewer?action=UPDATE&amp;creator=factset&amp;DYN_ARGS=TRUE&amp;DOC_NAME=FAT:FQL_AUDITING_CLIENT_TEMPLATE.FAT&amp;display_string=Audit&amp;VAR:KEY=OZGRKXKLQB&amp;VAR:QUERY=RkZfRU5UUlBSX1ZBTF9TQUxFUyhBTk4sMjAwOSwsLCxVU0Qp&amp;WINDOW=FIRST_POPUP&amp;HEIGHT=450&amp;WIDTH=","450&amp;START_MAXIMIZED=FALSE&amp;VAR:CALENDAR=FIVEDAY&amp;VAR:SYMBOL=464330&amp;VAR:INDEX=0"}</definedName>
    <definedName name="_52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233"}</definedName>
    <definedName name="_522__FDSAUDITLINK__" hidden="1">{"fdsup://directions/FAT Viewer?action=UPDATE&amp;creator=factset&amp;DYN_ARGS=TRUE&amp;DOC_NAME=FAT:FQL_AUDITING_CLIENT_TEMPLATE.FAT&amp;display_string=Audit&amp;VAR:KEY=SVONSRIPQB&amp;VAR:QUERY=RkZfRU5UUlBSX1ZBTF9TQUxFUyhBTk4sMjAxMCwsLCxVU0Qp&amp;WINDOW=FIRST_POPUP&amp;HEIGHT=450&amp;WIDTH=","450&amp;START_MAXIMIZED=FALSE&amp;VAR:CALENDAR=FIVEDAY&amp;VAR:SYMBOL=561112&amp;VAR:INDEX=0"}</definedName>
    <definedName name="_52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232"}</definedName>
    <definedName name="_523__FDSAUDITLINK__" hidden="1">{"fdsup://directions/FAT Viewer?action=UPDATE&amp;creator=factset&amp;DYN_ARGS=TRUE&amp;DOC_NAME=FAT:FQL_AUDITING_CLIENT_TEMPLATE.FAT&amp;display_string=Audit&amp;VAR:KEY=KFETWBYZUP&amp;VAR:QUERY=RkZfRU5UUlBSX1ZBTF9TQUxFUyhBTk4sMjAwOSwsLCxVU0Qp&amp;WINDOW=FIRST_POPUP&amp;HEIGHT=450&amp;WIDTH=","450&amp;START_MAXIMIZED=FALSE&amp;VAR:CALENDAR=FIVEDAY&amp;VAR:SYMBOL=561112&amp;VAR:INDEX=0"}</definedName>
    <definedName name="_52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231"}</definedName>
    <definedName name="_524__FDSAUDITLINK__" hidden="1">{"fdsup://directions/FAT Viewer?action=UPDATE&amp;creator=factset&amp;DYN_ARGS=TRUE&amp;DOC_NAME=FAT:FQL_AUDITING_CLIENT_TEMPLATE.FAT&amp;display_string=Audit&amp;VAR:KEY=UTYBGPKXAV&amp;VAR:QUERY=RkZfRU5UUlBSX1ZBTF9FQklUREFfT1BFUihBTk4sMjAxMCwsLCxVU0Qp&amp;WINDOW=FIRST_POPUP&amp;HEIGHT=45","0&amp;WIDTH=450&amp;START_MAXIMIZED=FALSE&amp;VAR:CALENDAR=FIVEDAY&amp;VAR:SYMBOL=464330&amp;VAR:INDEX=0"}</definedName>
    <definedName name="_52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230"}</definedName>
    <definedName name="_525__FDSAUDITLINK__" hidden="1">{"fdsup://directions/FAT Viewer?action=UPDATE&amp;creator=factset&amp;DYN_ARGS=TRUE&amp;DOC_NAME=FAT:FQL_AUDITING_CLIENT_TEMPLATE.FAT&amp;display_string=Audit&amp;VAR:KEY=ONQXAZSRMT&amp;VAR:QUERY=RkZfRU5UUlBSX1ZBTF9FQklUREFfT1BFUihBTk4sMjAwOSwsLCxVU0Qp&amp;WINDOW=FIRST_POPUP&amp;HEIGHT=45","0&amp;WIDTH=450&amp;START_MAXIMIZED=FALSE&amp;VAR:CALENDAR=FIVEDAY&amp;VAR:SYMBOL=464330&amp;VAR:INDEX=0"}</definedName>
    <definedName name="_52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229"}</definedName>
    <definedName name="_526__FDSAUDITLINK__" hidden="1">{"fdsup://directions/FAT Viewer?action=UPDATE&amp;creator=factset&amp;DYN_ARGS=TRUE&amp;DOC_NAME=FAT:FQL_AUDITING_CLIENT_TEMPLATE.FAT&amp;display_string=Audit&amp;VAR:KEY=SNGJUZGBGB&amp;VAR:QUERY=RkZfRU5UUlBSX1ZBTF9FQklUREFfT1BFUihBTk4sMjAxMCwsLCxVU0Qp&amp;WINDOW=FIRST_POPUP&amp;HEIGHT=45","0&amp;WIDTH=450&amp;START_MAXIMIZED=FALSE&amp;VAR:CALENDAR=FIVEDAY&amp;VAR:SYMBOL=561112&amp;VAR:INDEX=0"}</definedName>
    <definedName name="_52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228"}</definedName>
    <definedName name="_527__FDSAUDITLINK__" hidden="1">{"fdsup://directions/FAT Viewer?action=UPDATE&amp;creator=factset&amp;DYN_ARGS=TRUE&amp;DOC_NAME=FAT:FQL_AUDITING_CLIENT_TEMPLATE.FAT&amp;display_string=Audit&amp;VAR:KEY=UFQRWTMNEH&amp;VAR:QUERY=RkZfRU5UUlBSX1ZBTF9FQklUREFfT1BFUihBTk4sMjAwOSwsLCxVU0Qp&amp;WINDOW=FIRST_POPUP&amp;HEIGHT=45","0&amp;WIDTH=450&amp;START_MAXIMIZED=FALSE&amp;VAR:CALENDAR=FIVEDAY&amp;VAR:SYMBOL=561112&amp;VAR:INDEX=0"}</definedName>
    <definedName name="_52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227"}</definedName>
    <definedName name="_528__FDSAUDITLINK__" hidden="1">{"fdsup://directions/FAT Viewer?action=UPDATE&amp;creator=factset&amp;DYN_ARGS=TRUE&amp;DOC_NAME=FAT:FQL_AUDITING_CLIENT_TEMPLATE.FAT&amp;display_string=Audit&amp;VAR:KEY=MTMNEHCFIL&amp;VAR:QUERY=RkZfRU5UUlBSX1ZBTF9FQklUX09QRVIoQU5OLDIwMTAsLCwsVVNEKQ==&amp;WINDOW=FIRST_POPUP&amp;HEIGHT=45","0&amp;WIDTH=450&amp;START_MAXIMIZED=FALSE&amp;VAR:CALENDAR=FIVEDAY&amp;VAR:SYMBOL=464330&amp;VAR:INDEX=0"}</definedName>
    <definedName name="_52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226"}</definedName>
    <definedName name="_529__FDSAUDITLINK__" hidden="1">{"fdsup://directions/FAT Viewer?action=UPDATE&amp;creator=factset&amp;DYN_ARGS=TRUE&amp;DOC_NAME=FAT:FQL_AUDITING_CLIENT_TEMPLATE.FAT&amp;display_string=Audit&amp;VAR:KEY=WDAVAVWLCL&amp;VAR:QUERY=RkZfRU5UUlBSX1ZBTF9FQklUX09QRVIoQU5OLDIwMDksLCwsVVNEKQ==&amp;WINDOW=FIRST_POPUP&amp;HEIGHT=45","0&amp;WIDTH=450&amp;START_MAXIMIZED=FALSE&amp;VAR:CALENDAR=FIVEDAY&amp;VAR:SYMBOL=464330&amp;VAR:INDEX=0"}</definedName>
    <definedName name="_53__123Graph_AChart_1" hidden="1">#REF!</definedName>
    <definedName name="_53__123Graph_LBL_CCHART_2" hidden="1">#REF!</definedName>
    <definedName name="_53__FDSAUDITLINK__" localSheetId="0" hidden="1">{"fdsup://Directions/FactSet Auditing Viewer?action=AUDIT_VALUE&amp;DB=129&amp;ID1=692737&amp;VALUEID=01551&amp;SDATE=2008&amp;PERIODTYPE=ANN_STD&amp;window=popup_no_bar&amp;width=385&amp;height=120&amp;START_MAXIMIZED=FALSE&amp;creator=factset&amp;display_string=Audit"}</definedName>
    <definedName name="_53__FDSAUDITLINK__" hidden="1">{"fdsup://directions/FAT Viewer?action=UPDATE&amp;creator=factset&amp;DYN_ARGS=TRUE&amp;DOC_NAME=FAT:FQL_AUDITING_CLIENT_TEMPLATE.FAT&amp;display_string=Audit&amp;VAR:KEY=WXOZCBQPYN&amp;VAR:QUERY=RkZfR1JPU1NfTUdOKEFOTiwyMDEwKQ==&amp;WINDOW=FIRST_POPUP&amp;HEIGHT=450&amp;WIDTH=450&amp;START_MAXIMI","ZED=FALSE&amp;VAR:CALENDAR=FIVEDAY&amp;VAR:SYMBOL=B1H11J&amp;VAR:INDEX=0"}</definedName>
    <definedName name="_53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225"}</definedName>
    <definedName name="_530__FDSAUDITLINK__" hidden="1">{"fdsup://directions/FAT Viewer?action=UPDATE&amp;creator=factset&amp;DYN_ARGS=TRUE&amp;DOC_NAME=FAT:FQL_AUDITING_CLIENT_TEMPLATE.FAT&amp;display_string=Audit&amp;VAR:KEY=ALIHQZUJEF&amp;VAR:QUERY=RkZfRU5UUlBSX1ZBTF9FQklUX09QRVIoQU5OLDIwMTAsLCwsVVNEKQ==&amp;WINDOW=FIRST_POPUP&amp;HEIGHT=45","0&amp;WIDTH=450&amp;START_MAXIMIZED=FALSE&amp;VAR:CALENDAR=FIVEDAY&amp;VAR:SYMBOL=561112&amp;VAR:INDEX=0"}</definedName>
    <definedName name="_53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224"}</definedName>
    <definedName name="_531__FDSAUDITLINK__" hidden="1">{"fdsup://directions/FAT Viewer?action=UPDATE&amp;creator=factset&amp;DYN_ARGS=TRUE&amp;DOC_NAME=FAT:FQL_AUDITING_CLIENT_TEMPLATE.FAT&amp;display_string=Audit&amp;VAR:KEY=KFOZQBKXWP&amp;VAR:QUERY=RkZfRU5UUlBSX1ZBTF9FQklUX09QRVIoQU5OLDIwMDksLCwsVVNEKQ==&amp;WINDOW=FIRST_POPUP&amp;HEIGHT=45","0&amp;WIDTH=450&amp;START_MAXIMIZED=FALSE&amp;VAR:CALENDAR=FIVEDAY&amp;VAR:SYMBOL=561112&amp;VAR:INDEX=0"}</definedName>
    <definedName name="_53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223"}</definedName>
    <definedName name="_532__FDSAUDITLINK__" hidden="1">{"fdsup://directions/FAT Viewer?action=UPDATE&amp;creator=factset&amp;DYN_ARGS=TRUE&amp;DOC_NAME=FAT:FQL_AUDITING_CLIENT_TEMPLATE.FAT&amp;display_string=Audit&amp;VAR:KEY=KRUNWHILQL&amp;VAR:QUERY=RkZfUEUoQU5OLDIwMTAsLCwsVVNEKQ==&amp;WINDOW=FIRST_POPUP&amp;HEIGHT=450&amp;WIDTH=450&amp;START_MAXIMI","ZED=FALSE&amp;VAR:CALENDAR=FIVEDAY&amp;VAR:SYMBOL=464330&amp;VAR:INDEX=0"}</definedName>
    <definedName name="_53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222"}</definedName>
    <definedName name="_533__FDSAUDITLINK__" hidden="1">{"fdsup://directions/FAT Viewer?action=UPDATE&amp;creator=factset&amp;DYN_ARGS=TRUE&amp;DOC_NAME=FAT:FQL_AUDITING_CLIENT_TEMPLATE.FAT&amp;display_string=Audit&amp;VAR:KEY=UPARQXUXGF&amp;VAR:QUERY=RkZfUEUoQU5OLDIwMDksLCwsVVNEKQ==&amp;WINDOW=FIRST_POPUP&amp;HEIGHT=450&amp;WIDTH=450&amp;START_MAXIMI","ZED=FALSE&amp;VAR:CALENDAR=FIVEDAY&amp;VAR:SYMBOL=464330&amp;VAR:INDEX=0"}</definedName>
    <definedName name="_53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221"}</definedName>
    <definedName name="_534__FDSAUDITLINK__" hidden="1">{"fdsup://directions/FAT Viewer?action=UPDATE&amp;creator=factset&amp;DYN_ARGS=TRUE&amp;DOC_NAME=FAT:FQL_AUDITING_CLIENT_TEMPLATE.FAT&amp;display_string=Audit&amp;VAR:KEY=OBIVMNGPEH&amp;VAR:QUERY=RkZfUEUoQU5OLDIwMTAsLCwsVVNEKQ==&amp;WINDOW=FIRST_POPUP&amp;HEIGHT=450&amp;WIDTH=450&amp;START_MAXIMI","ZED=FALSE&amp;VAR:CALENDAR=FIVEDAY&amp;VAR:SYMBOL=561112&amp;VAR:INDEX=0"}</definedName>
    <definedName name="_53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220"}</definedName>
    <definedName name="_535__FDSAUDITLINK__" hidden="1">{"fdsup://directions/FAT Viewer?action=UPDATE&amp;creator=factset&amp;DYN_ARGS=TRUE&amp;DOC_NAME=FAT:FQL_AUDITING_CLIENT_TEMPLATE.FAT&amp;display_string=Audit&amp;VAR:KEY=SVMLSVYHGN&amp;VAR:QUERY=RkZfUEUoQU5OLDIwMDksLCwsVVNEKQ==&amp;WINDOW=FIRST_POPUP&amp;HEIGHT=450&amp;WIDTH=450&amp;START_MAXIMI","ZED=FALSE&amp;VAR:CALENDAR=FIVEDAY&amp;VAR:SYMBOL=561112&amp;VAR:INDEX=0"}</definedName>
    <definedName name="_53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219"}</definedName>
    <definedName name="_536__FDSAUDITLINK__" hidden="1">{"fdsup://directions/FAT Viewer?action=UPDATE&amp;creator=factset&amp;DYN_ARGS=TRUE&amp;DOC_NAME=FAT:FQL_AUDITING_CLIENT_TEMPLATE.FAT&amp;display_string=Audit&amp;VAR:KEY=KNWDAHKJOV&amp;VAR:QUERY=RkZfTkVUX0lOQyhBTk4sMjAxMCwsLCxVU0Qp&amp;WINDOW=FIRST_POPUP&amp;HEIGHT=450&amp;WIDTH=450&amp;START_MA","XIMIZED=FALSE&amp;VAR:CALENDAR=FIVEDAY&amp;VAR:SYMBOL=464330&amp;VAR:INDEX=0"}</definedName>
    <definedName name="_53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218"}</definedName>
    <definedName name="_537__FDSAUDITLINK__" hidden="1">{"fdsup://directions/FAT Viewer?action=UPDATE&amp;creator=factset&amp;DYN_ARGS=TRUE&amp;DOC_NAME=FAT:FQL_AUDITING_CLIENT_TEMPLATE.FAT&amp;display_string=Audit&amp;VAR:KEY=ODUPWHYRQR&amp;VAR:QUERY=RkZfTkVUX0lOQyhBTk4sMjAwOSwsLCxVU0Qp&amp;WINDOW=FIRST_POPUP&amp;HEIGHT=450&amp;WIDTH=450&amp;START_MA","XIMIZED=FALSE&amp;VAR:CALENDAR=FIVEDAY&amp;VAR:SYMBOL=464330&amp;VAR:INDEX=0"}</definedName>
    <definedName name="_53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217"}</definedName>
    <definedName name="_538__FDSAUDITLINK__" hidden="1">{"fdsup://directions/FAT Viewer?action=UPDATE&amp;creator=factset&amp;DYN_ARGS=TRUE&amp;DOC_NAME=FAT:FQL_AUDITING_CLIENT_TEMPLATE.FAT&amp;display_string=Audit&amp;VAR:KEY=UFCHOVANIL&amp;VAR:QUERY=RkZfTkVUX0lOQyhBTk4sMjAxMCwsLCxVU0Qp&amp;WINDOW=FIRST_POPUP&amp;HEIGHT=450&amp;WIDTH=450&amp;START_MA","XIMIZED=FALSE&amp;VAR:CALENDAR=FIVEDAY&amp;VAR:SYMBOL=561112&amp;VAR:INDEX=0"}</definedName>
    <definedName name="_53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216"}</definedName>
    <definedName name="_539__FDSAUDITLINK__" hidden="1">{"fdsup://directions/FAT Viewer?action=UPDATE&amp;creator=factset&amp;DYN_ARGS=TRUE&amp;DOC_NAME=FAT:FQL_AUDITING_CLIENT_TEMPLATE.FAT&amp;display_string=Audit&amp;VAR:KEY=WBINOJIHCL&amp;VAR:QUERY=RkZfTkVUX0lOQyhBTk4sMjAwOSwsLCxVU0Qp&amp;WINDOW=FIRST_POPUP&amp;HEIGHT=450&amp;WIDTH=450&amp;START_MA","XIMIZED=FALSE&amp;VAR:CALENDAR=FIVEDAY&amp;VAR:SYMBOL=561112&amp;VAR:INDEX=0"}</definedName>
    <definedName name="_54__123Graph_AChart_2" hidden="1">#REF!</definedName>
    <definedName name="_54__123Graph_CCHART_1" hidden="1">#REF!</definedName>
    <definedName name="_54__FDSAUDITLINK__" localSheetId="0" hidden="1">{"fdsup://Directions/FactSet Auditing Viewer?action=AUDIT_VALUE&amp;DB=129&amp;ID1=692737&amp;VALUEID=01551&amp;SDATE=2007&amp;PERIODTYPE=ANN_STD&amp;window=popup_no_bar&amp;width=385&amp;height=120&amp;START_MAXIMIZED=FALSE&amp;creator=factset&amp;display_string=Audit"}</definedName>
    <definedName name="_54__FDSAUDITLINK__" hidden="1">{"fdsup://directions/FAT Viewer?action=UPDATE&amp;creator=factset&amp;DYN_ARGS=TRUE&amp;DOC_NAME=FAT:FQL_AUDITING_CLIENT_TEMPLATE.FAT&amp;display_string=Audit&amp;VAR:KEY=GRQJAFGPYX&amp;VAR:QUERY=RkZfR1JPU1NfTUdOKEFOTiwyMDA5LCwsLFVTRCk=&amp;WINDOW=FIRST_POPUP&amp;HEIGHT=450&amp;WIDTH=450&amp;STAR","T_MAXIMIZED=FALSE&amp;VAR:CALENDAR=FIVEDAY&amp;VAR:SYMBOL=B1H11J&amp;VAR:INDEX=0"}</definedName>
    <definedName name="_54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215"}</definedName>
    <definedName name="_540__FDSAUDITLINK__" hidden="1">{"fdsup://directions/FAT Viewer?action=UPDATE&amp;creator=factset&amp;DYN_ARGS=TRUE&amp;DOC_NAME=FAT:FQL_AUDITING_CLIENT_TEMPLATE.FAT&amp;display_string=Audit&amp;VAR:KEY=UVUJWNOHGF&amp;VAR:QUERY=RkZfRUJJVERBX09QRVIoQU5OLDIwMTAsLCwsVVNEKQ==&amp;WINDOW=FIRST_POPUP&amp;HEIGHT=450&amp;WIDTH=450&amp;","START_MAXIMIZED=FALSE&amp;VAR:CALENDAR=FIVEDAY&amp;VAR:SYMBOL=464330&amp;VAR:INDEX=0"}</definedName>
    <definedName name="_54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214"}</definedName>
    <definedName name="_541__FDSAUDITLINK__" hidden="1">{"fdsup://directions/FAT Viewer?action=UPDATE&amp;creator=factset&amp;DYN_ARGS=TRUE&amp;DOC_NAME=FAT:FQL_AUDITING_CLIENT_TEMPLATE.FAT&amp;display_string=Audit&amp;VAR:KEY=YRITKBWHOH&amp;VAR:QUERY=RkZfRUJJVERBX09QRVIoQU5OLDIwMDksLCwsVVNEKQ==&amp;WINDOW=FIRST_POPUP&amp;HEIGHT=450&amp;WIDTH=450&amp;","START_MAXIMIZED=FALSE&amp;VAR:CALENDAR=FIVEDAY&amp;VAR:SYMBOL=464330&amp;VAR:INDEX=0"}</definedName>
    <definedName name="_54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213"}</definedName>
    <definedName name="_542__FDSAUDITLINK__" hidden="1">{"fdsup://directions/FAT Viewer?action=UPDATE&amp;creator=factset&amp;DYN_ARGS=TRUE&amp;DOC_NAME=FAT:FQL_AUDITING_CLIENT_TEMPLATE.FAT&amp;display_string=Audit&amp;VAR:KEY=QHQDUZKFCH&amp;VAR:QUERY=RkZfRUJJVERBX09QRVIoQU5OLDIwMTAsLCwsVVNEKQ==&amp;WINDOW=FIRST_POPUP&amp;HEIGHT=450&amp;WIDTH=450&amp;","START_MAXIMIZED=FALSE&amp;VAR:CALENDAR=FIVEDAY&amp;VAR:SYMBOL=561112&amp;VAR:INDEX=0"}</definedName>
    <definedName name="_54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212"}</definedName>
    <definedName name="_543__FDSAUDITLINK__" hidden="1">{"fdsup://directions/FAT Viewer?action=UPDATE&amp;creator=factset&amp;DYN_ARGS=TRUE&amp;DOC_NAME=FAT:FQL_AUDITING_CLIENT_TEMPLATE.FAT&amp;display_string=Audit&amp;VAR:KEY=OPGHWHAPUT&amp;VAR:QUERY=RkZfRUJJVERBX09QRVIoQU5OLDIwMDksLCwsVVNEKQ==&amp;WINDOW=FIRST_POPUP&amp;HEIGHT=450&amp;WIDTH=450&amp;","START_MAXIMIZED=FALSE&amp;VAR:CALENDAR=FIVEDAY&amp;VAR:SYMBOL=561112&amp;VAR:INDEX=0"}</definedName>
    <definedName name="_54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211"}</definedName>
    <definedName name="_544__FDSAUDITLINK__" hidden="1">{"fdsup://directions/FAT Viewer?action=UPDATE&amp;creator=factset&amp;DYN_ARGS=TRUE&amp;DOC_NAME=FAT:FQL_AUDITING_CLIENT_TEMPLATE.FAT&amp;display_string=Audit&amp;VAR:KEY=CLCRSDAPSX&amp;VAR:QUERY=RkZfRUJJVF9PUEVSKEFOTiwyMDEwLCwsLFVTRCk=&amp;WINDOW=FIRST_POPUP&amp;HEIGHT=450&amp;WIDTH=450&amp;STAR","T_MAXIMIZED=FALSE&amp;VAR:CALENDAR=FIVEDAY&amp;VAR:SYMBOL=464330&amp;VAR:INDEX=0"}</definedName>
    <definedName name="_54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210"}</definedName>
    <definedName name="_545__FDSAUDITLINK__" hidden="1">{"fdsup://directions/FAT Viewer?action=UPDATE&amp;creator=factset&amp;DYN_ARGS=TRUE&amp;DOC_NAME=FAT:FQL_AUDITING_CLIENT_TEMPLATE.FAT&amp;display_string=Audit&amp;VAR:KEY=YLCVWFIZGL&amp;VAR:QUERY=RkZfRUJJVF9PUEVSKEFOTiwyMDA5LCwsLFVTRCk=&amp;WINDOW=FIRST_POPUP&amp;HEIGHT=450&amp;WIDTH=450&amp;STAR","T_MAXIMIZED=FALSE&amp;VAR:CALENDAR=FIVEDAY&amp;VAR:SYMBOL=464330&amp;VAR:INDEX=0"}</definedName>
    <definedName name="_54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209"}</definedName>
    <definedName name="_546__FDSAUDITLINK__" hidden="1">{"fdsup://directions/FAT Viewer?action=UPDATE&amp;creator=factset&amp;DYN_ARGS=TRUE&amp;DOC_NAME=FAT:FQL_AUDITING_CLIENT_TEMPLATE.FAT&amp;display_string=Audit&amp;VAR:KEY=IRGRQDQTWB&amp;VAR:QUERY=RkZfRUJJVF9PUEVSKEFOTiwyMDEwLCwsLFVTRCk=&amp;WINDOW=FIRST_POPUP&amp;HEIGHT=450&amp;WIDTH=450&amp;STAR","T_MAXIMIZED=FALSE&amp;VAR:CALENDAR=FIVEDAY&amp;VAR:SYMBOL=561112&amp;VAR:INDEX=0"}</definedName>
    <definedName name="_54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208"}</definedName>
    <definedName name="_547__FDSAUDITLINK__" hidden="1">{"fdsup://directions/FAT Viewer?action=UPDATE&amp;creator=factset&amp;DYN_ARGS=TRUE&amp;DOC_NAME=FAT:FQL_AUDITING_CLIENT_TEMPLATE.FAT&amp;display_string=Audit&amp;VAR:KEY=EPKPEBABGZ&amp;VAR:QUERY=RkZfRUJJVF9PUEVSKEFOTiwyMDA5LCwsLFVTRCk=&amp;WINDOW=FIRST_POPUP&amp;HEIGHT=450&amp;WIDTH=450&amp;STAR","T_MAXIMIZED=FALSE&amp;VAR:CALENDAR=FIVEDAY&amp;VAR:SYMBOL=561112&amp;VAR:INDEX=0"}</definedName>
    <definedName name="_54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207"}</definedName>
    <definedName name="_548__FDSAUDITLINK__" hidden="1">{"fdsup://Directions/FactSet Auditing Viewer?action=AUDIT_VALUE&amp;DB=129&amp;ID1=464330&amp;VALUEID=01001&amp;SDATE=2010&amp;PERIODTYPE=ANN_STD&amp;SCFT=3&amp;window=popup_no_bar&amp;width=385&amp;height=120&amp;START_MAXIMIZED=FALSE&amp;creator=factset&amp;display_string=Audit"}</definedName>
    <definedName name="_54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206"}</definedName>
    <definedName name="_549__FDSAUDITLINK__" hidden="1">{"fdsup://Directions/FactSet Auditing Viewer?action=AUDIT_VALUE&amp;DB=129&amp;ID1=464330&amp;VALUEID=01001&amp;SDATE=2009&amp;PERIODTYPE=ANN_STD&amp;SCFT=3&amp;window=popup_no_bar&amp;width=385&amp;height=120&amp;START_MAXIMIZED=FALSE&amp;creator=factset&amp;display_string=Audit"}</definedName>
    <definedName name="_55__123Graph_AChart_3" hidden="1">#REF!</definedName>
    <definedName name="_55__FDSAUDITLINK__" localSheetId="0" hidden="1">{"fdsup://Directions/FactSet Auditing Viewer?action=AUDIT_VALUE&amp;DB=129&amp;ID1=692737&amp;VALUEID=01001&amp;SDATE=2009&amp;PERIODTYPE=ANN_STD&amp;window=popup_no_bar&amp;width=385&amp;height=120&amp;START_MAXIMIZED=FALSE&amp;creator=factset&amp;display_string=Audit"}</definedName>
    <definedName name="_55__FDSAUDITLINK__" hidden="1">{"fdsup://directions/FAT Viewer?action=UPDATE&amp;creator=factset&amp;DYN_ARGS=TRUE&amp;DOC_NAME=FAT:FQL_AUDITING_CLIENT_TEMPLATE.FAT&amp;display_string=Audit&amp;VAR:KEY=GPIZOHEDMH&amp;VAR:QUERY=RkZfR1JPU1NfTUdOKEFOTiwyMDEwKQ==&amp;WINDOW=FIRST_POPUP&amp;HEIGHT=450&amp;WIDTH=450&amp;START_MAXIMI","ZED=FALSE&amp;VAR:CALENDAR=FIVEDAY&amp;VAR:SYMBOL=B599D1&amp;VAR:INDEX=0"}</definedName>
    <definedName name="_55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205"}</definedName>
    <definedName name="_550__FDSAUDITLINK__" hidden="1">{"fdsup://Directions/FactSet Auditing Viewer?action=AUDIT_VALUE&amp;DB=129&amp;ID1=561112&amp;VALUEID=01001&amp;SDATE=2009&amp;PERIODTYPE=ANN_STD&amp;SCFT=3&amp;window=popup_no_bar&amp;width=385&amp;height=120&amp;START_MAXIMIZED=FALSE&amp;creator=factset&amp;display_string=Audit"}</definedName>
    <definedName name="_55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204"}</definedName>
    <definedName name="_551__FDSAUDITLINK__" hidden="1">{"fdsup://directions/FAT Viewer?action=UPDATE&amp;creator=factset&amp;DYN_ARGS=TRUE&amp;DOC_NAME=FAT:FQL_AUDITING_CLIENT_TEMPLATE.FAT&amp;display_string=Audit&amp;VAR:KEY=KDCPCRGJOX&amp;VAR:QUERY=RkZfRU5UUlBSX1ZBTF9EQUlMWSg0MDY3NiwsLCxVU0QsJ0RJTCcp&amp;WINDOW=FIRST_POPUP&amp;HEIGHT=450&amp;WI","DTH=450&amp;START_MAXIMIZED=FALSE&amp;VAR:CALENDAR=FIVEDAY&amp;VAR:SYMBOL=464330&amp;VAR:INDEX=0"}</definedName>
    <definedName name="_55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203"}</definedName>
    <definedName name="_552__FDSAUDITLINK__" hidden="1">{"fdsup://Directions/FactSet Auditing Viewer?action=AUDIT_VALUE&amp;DB=129&amp;ID1=464330&amp;VALUEID=05194&amp;SDATE=2010&amp;PERIODTYPE=ANN_STD&amp;SCFT=3&amp;window=popup_no_bar&amp;width=385&amp;height=120&amp;START_MAXIMIZED=FALSE&amp;creator=factset&amp;display_string=Audit"}</definedName>
    <definedName name="_55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202"}</definedName>
    <definedName name="_553__FDSAUDITLINK__" hidden="1">{"fdsup://directions/FAT Viewer?action=UPDATE&amp;creator=factset&amp;DYN_ARGS=TRUE&amp;DOC_NAME=FAT:FQL_AUDITING_CLIENT_TEMPLATE.FAT&amp;display_string=Audit&amp;VAR:KEY=AZYZAZOHSN&amp;VAR:QUERY=RkZfRU5UUlBSX1ZBTF9EQUlMWSg0MDY3NiwsLCxVU0QsJ0RJTCcp&amp;WINDOW=FIRST_POPUP&amp;HEIGHT=450&amp;WI","DTH=450&amp;START_MAXIMIZED=FALSE&amp;VAR:CALENDAR=FIVEDAY&amp;VAR:SYMBOL=561112&amp;VAR:INDEX=0"}</definedName>
    <definedName name="_55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201"}</definedName>
    <definedName name="_55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5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200"}</definedName>
    <definedName name="_55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5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199"}</definedName>
    <definedName name="_55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5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198"}</definedName>
    <definedName name="_55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5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197"}</definedName>
    <definedName name="_55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5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196"}</definedName>
    <definedName name="_55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6__123Graph_AChart_4" hidden="1">#REF!</definedName>
    <definedName name="_56__123Graph_LBL_ACHART_1" hidden="1">#REF!</definedName>
    <definedName name="_56__FDSAUDITLINK__" localSheetId="0" hidden="1">{"fdsup://Directions/FactSet Auditing Viewer?action=AUDIT_VALUE&amp;DB=129&amp;ID1=692737&amp;VALUEID=01001&amp;SDATE=2008&amp;PERIODTYPE=ANN_STD&amp;window=popup_no_bar&amp;width=385&amp;height=120&amp;START_MAXIMIZED=FALSE&amp;creator=factset&amp;display_string=Audit"}</definedName>
    <definedName name="_56__FDSAUDITLINK__" hidden="1">{"fdsup://directions/FAT Viewer?action=UPDATE&amp;creator=factset&amp;DYN_ARGS=TRUE&amp;DOC_NAME=FAT:FQL_AUDITING_CLIENT_TEMPLATE.FAT&amp;display_string=Audit&amp;VAR:KEY=EJMVWJSZQB&amp;VAR:QUERY=RkZfR1JPU1NfTUdOKEFOTiwyMDA5LCwsLFVTRCk=&amp;WINDOW=FIRST_POPUP&amp;HEIGHT=450&amp;WIDTH=450&amp;STAR","T_MAXIMIZED=FALSE&amp;VAR:CALENDAR=FIVEDAY&amp;VAR:SYMBOL=B599D1&amp;VAR:INDEX=0"}</definedName>
    <definedName name="_56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195"}</definedName>
    <definedName name="_56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6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194"}</definedName>
    <definedName name="_56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6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193"}</definedName>
    <definedName name="_56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6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192"}</definedName>
    <definedName name="_56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6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191"}</definedName>
    <definedName name="_56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6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190"}</definedName>
    <definedName name="_56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6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189"}</definedName>
    <definedName name="_56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6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188"}</definedName>
    <definedName name="_56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6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187"}</definedName>
    <definedName name="_56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6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186"}</definedName>
    <definedName name="_56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7__123Graph_AChart_5" hidden="1">#REF!</definedName>
    <definedName name="_57__FDSAUDITLINK__" localSheetId="0" hidden="1">{"fdsup://Directions/FactSet Auditing Viewer?action=AUDIT_VALUE&amp;DB=129&amp;ID1=692737&amp;VALUEID=01001&amp;SDATE=2007&amp;PERIODTYPE=ANN_STD&amp;window=popup_no_bar&amp;width=385&amp;height=120&amp;START_MAXIMIZED=FALSE&amp;creator=factset&amp;display_string=Audit"}</definedName>
    <definedName name="_57__FDSAUDITLINK__" hidden="1">{"fdsup://directions/FAT Viewer?action=UPDATE&amp;creator=factset&amp;DYN_ARGS=TRUE&amp;DOC_NAME=FAT:FQL_AUDITING_CLIENT_TEMPLATE.FAT&amp;display_string=Audit&amp;VAR:KEY=SNCBAXCDQX&amp;VAR:QUERY=RkZfR1JPU1NfTUdOKEFOTiwyMDEwKQ==&amp;WINDOW=FIRST_POPUP&amp;HEIGHT=450&amp;WIDTH=450&amp;START_MAXIMI","ZED=FALSE&amp;VAR:CALENDAR=FIVEDAY&amp;VAR:SYMBOL=B58MYJ&amp;VAR:INDEX=0"}</definedName>
    <definedName name="_57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185"}</definedName>
    <definedName name="_57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7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184"}</definedName>
    <definedName name="_57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7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183"}</definedName>
    <definedName name="_57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7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182"}</definedName>
    <definedName name="_57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7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181"}</definedName>
    <definedName name="_57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7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180"}</definedName>
    <definedName name="_57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7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179"}</definedName>
    <definedName name="_57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7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178"}</definedName>
    <definedName name="_57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7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177"}</definedName>
    <definedName name="_57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7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176"}</definedName>
    <definedName name="_57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7w8_" hidden="1">#REF!</definedName>
    <definedName name="_57wrn.²Ä1­Ó¤ë1_Ü20¤H." localSheetId="0" hidden="1">{#N/A,#N/A,FALSE,"²Ä1­Ó¤ë"}</definedName>
    <definedName name="_57wrn.²Ä1­Ó¤ë1_Ü20¤H." hidden="1">{#N/A,#N/A,FALSE,"²Ä1­Ó¤ë"}</definedName>
    <definedName name="_58__123Graph_AChart_6" hidden="1">#REF!</definedName>
    <definedName name="_58__FDSAUDITLINK__" localSheetId="0" hidden="1">{"fdsup://IBCentral/FAT Viewer?action=UPDATE&amp;creator=factset&amp;DOC_NAME=fat:reuters_qtrly_source_window.fat&amp;display_string=Audit&amp;DYN_ARGS=TRUE&amp;VAR:ID1=692737&amp;VAR:RCODE=FDSPFDSTKTOTAL&amp;VAR:SDATE=20100999&amp;VAR:FREQ=Quarterly&amp;VAR:RELITEM=RP&amp;VAR:CURRENCY=SGD&amp;VAR:CU","RRSOURCE=EXSHARE&amp;VAR:NATFREQ=QUARTERLY&amp;VAR:RFIELD=FINALIZED&amp;VAR:DB_TYPE=&amp;VAR:UNITS=M&amp;window=popup&amp;width=450&amp;height=300&amp;START_MAXIMIZED=FALSE"}</definedName>
    <definedName name="_58__FDSAUDITLINK__" hidden="1">{"fdsup://directions/FAT Viewer?action=UPDATE&amp;creator=factset&amp;DYN_ARGS=TRUE&amp;DOC_NAME=FAT:FQL_AUDITING_CLIENT_TEMPLATE.FAT&amp;display_string=Audit&amp;VAR:KEY=YBUTQVAXAF&amp;VAR:QUERY=RkZfR1JPU1NfTUdOKEFOTiwyMDA5LCwsLFVTRCk=&amp;WINDOW=FIRST_POPUP&amp;HEIGHT=450&amp;WIDTH=450&amp;STAR","T_MAXIMIZED=FALSE&amp;VAR:CALENDAR=FIVEDAY&amp;VAR:SYMBOL=B58MYJ&amp;VAR:INDEX=0"}</definedName>
    <definedName name="_58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175"}</definedName>
    <definedName name="_58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8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174"}</definedName>
    <definedName name="_58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8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173"}</definedName>
    <definedName name="_58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8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172"}</definedName>
    <definedName name="_58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8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171"}</definedName>
    <definedName name="_58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8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170"}</definedName>
    <definedName name="_58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8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169"}</definedName>
    <definedName name="_58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8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168"}</definedName>
    <definedName name="_58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8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167"}</definedName>
    <definedName name="_58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8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166"}</definedName>
    <definedName name="_58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9__123Graph_B_Chart_1A" hidden="1">#REF!</definedName>
    <definedName name="_59__FDSAUDITLINK__" localSheetId="0" hidden="1">{"fdsup://IBCentral/FAT Viewer?action=UPDATE&amp;creator=factset&amp;DOC_NAME=fat:reuters_qtrly_source_window.fat&amp;display_string=Audit&amp;DYN_ARGS=TRUE&amp;VAR:ID1=692737&amp;VAR:RCODE=LMIN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59__FDSAUDITLINK__" hidden="1">{"fdsup://directions/FAT Viewer?action=UPDATE&amp;creator=factset&amp;DYN_ARGS=TRUE&amp;DOC_NAME=FAT:FQL_AUDITING_CLIENT_TEMPLATE.FAT&amp;display_string=Audit&amp;VAR:KEY=IFYBWVUDAX&amp;VAR:QUERY=RkZfR1JPU1NfTUdOKEFOTiwyMDEwKQ==&amp;WINDOW=FIRST_POPUP&amp;HEIGHT=450&amp;WIDTH=450&amp;START_MAXIMI","ZED=FALSE&amp;VAR:CALENDAR=FIVEDAY&amp;VAR:SYMBOL=B1VZKH&amp;VAR:INDEX=0"}</definedName>
    <definedName name="_59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165"}</definedName>
    <definedName name="_59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9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164"}</definedName>
    <definedName name="_59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9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163"}</definedName>
    <definedName name="_59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9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162"}</definedName>
    <definedName name="_59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9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161"}</definedName>
    <definedName name="_59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9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160"}</definedName>
    <definedName name="_59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9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159"}</definedName>
    <definedName name="_59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9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158"}</definedName>
    <definedName name="_59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9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157"}</definedName>
    <definedName name="_59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9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156"}</definedName>
    <definedName name="_59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59X3_" hidden="1">#REF!</definedName>
    <definedName name="_5C1001_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5C1001_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5F2021_" localSheetId="0" hidden="1">{#N/A,#N/A,FALSE,"970301";#N/A,#N/A,FALSE,"970302";#N/A,#N/A,FALSE,"970303";#N/A,#N/A,FALSE,"970304";#N/A,#N/A,FALSE,"COM1";#N/A,#N/A,FALSE,"COM2"}</definedName>
    <definedName name="_5F2021_" hidden="1">{#N/A,#N/A,FALSE,"970301";#N/A,#N/A,FALSE,"970302";#N/A,#N/A,FALSE,"970303";#N/A,#N/A,FALSE,"970304";#N/A,#N/A,FALSE,"COM1";#N/A,#N/A,FALSE,"COM2"}</definedName>
    <definedName name="_5IS04_" localSheetId="0" hidden="1">{"M1Print",#N/A,FALSE,"M1"}</definedName>
    <definedName name="_5IS04_" hidden="1">{"M1Print",#N/A,FALSE,"M1"}</definedName>
    <definedName name="_6__123Graph_ACHART_14" hidden="1">#REF!</definedName>
    <definedName name="_6__123Graph_ACHART_20" hidden="1">#REF!</definedName>
    <definedName name="_6__123Graph_AChart_5" hidden="1">#REF!</definedName>
    <definedName name="_6__123Graph_ACHART_8" hidden="1">#REF!</definedName>
    <definedName name="_6__123Graph_AR_M_MARG" hidden="1">#REF!</definedName>
    <definedName name="_6__123Graph_BCHART_12" hidden="1">#REF!</definedName>
    <definedName name="_6__123Graph_BCHART_2" hidden="1">#REF!</definedName>
    <definedName name="_6__123Graph_BCHART_3" hidden="1">#REF!</definedName>
    <definedName name="_6__123Graph_CCHART_1" hidden="1">#REF!</definedName>
    <definedName name="_6__123Graph_XTEILM_RKTE2" hidden="1">#REF!</definedName>
    <definedName name="_6__FDSAUDITLINK__" localSheetId="0" hidden="1">{"fdsup://Directions/FactSet Auditing Viewer?action=AUDIT_VALUE&amp;DB=129&amp;ID1=692737&amp;VALUEID=01551&amp;SDATE=2007&amp;PERIODTYPE=ANN_STD&amp;window=popup_no_bar&amp;width=385&amp;height=120&amp;START_MAXIMIZED=FALSE&amp;creator=factset&amp;display_string=Audit"}</definedName>
    <definedName name="_6__FDSAUDITLINK__" hidden="1">{"fdsup://directions/FAT Viewer?action=UPDATE&amp;creator=factset&amp;DYN_ARGS=TRUE&amp;DOC_NAME=FAT:FQL_AUDITING_CLIENT_TEMPLATE.FAT&amp;display_string=Audit&amp;VAR:KEY=YPEPAVEXIV&amp;VAR:QUERY=RkZfRUJJVERBX09QRVJfTUdOKEFOTiwyMDA5LCwsLFVTRCk=&amp;WINDOW=FIRST_POPUP&amp;HEIGHT=450&amp;WIDTH=","450&amp;START_MAXIMIZED=FALSE&amp;VAR:CALENDAR=FIVEDAY&amp;VAR:SYMBOL=B59F84&amp;VAR:INDEX=0"}</definedName>
    <definedName name="_60__123Graph_C_Chart_1A" hidden="1">#REF!</definedName>
    <definedName name="_60__FDSAUDITLINK__" localSheetId="0" hidden="1">{"fdsup://IBCentral/FAT Viewer?action=UPDATE&amp;creator=factset&amp;DOC_NAME=fat:reuters_qtrly_source_window.fat&amp;display_string=Audit&amp;DYN_ARGS=TRUE&amp;VAR:ID1=692737&amp;VAR:RCODE=LMIN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60__FDSAUDITLINK__" hidden="1">{"fdsup://directions/FAT Viewer?action=UPDATE&amp;creator=factset&amp;DYN_ARGS=TRUE&amp;DOC_NAME=FAT:FQL_AUDITING_CLIENT_TEMPLATE.FAT&amp;display_string=Audit&amp;VAR:KEY=YVULIDOLWX&amp;VAR:QUERY=RkZfR1JPU1NfTUdOKEFOTiwyMDA5LCwsLFVTRCk=&amp;WINDOW=FIRST_POPUP&amp;HEIGHT=450&amp;WIDTH=450&amp;STAR","T_MAXIMIZED=FALSE&amp;VAR:CALENDAR=FIVEDAY&amp;VAR:SYMBOL=B1VZKH&amp;VAR:INDEX=0"}</definedName>
    <definedName name="_60_0__123Graph_ACHAR" hidden="1">#REF!</definedName>
    <definedName name="_60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155"}</definedName>
    <definedName name="_60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0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154"}</definedName>
    <definedName name="_60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0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153"}</definedName>
    <definedName name="_60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0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152"}</definedName>
    <definedName name="_60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0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151"}</definedName>
    <definedName name="_60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0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150"}</definedName>
    <definedName name="_60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0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149"}</definedName>
    <definedName name="_60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0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148"}</definedName>
    <definedName name="_60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0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147"}</definedName>
    <definedName name="_60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0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146"}</definedName>
    <definedName name="_60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1__123Graph_D_Chart_1A" hidden="1">#REF!</definedName>
    <definedName name="_61__FDSAUDITLINK__" localSheetId="0" hidden="1">{"fdsup://IBCentral/FAT Viewer?action=UPDATE&amp;creator=factset&amp;DOC_NAME=fat:reuters_qtrly_source_window.fat&amp;display_string=Audit&amp;DYN_ARGS=TRUE&amp;VAR:ID1=692737&amp;VAR:RCODE=SCSI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61__FDSAUDITLINK__" hidden="1">{"fdsup://directions/FAT Viewer?action=UPDATE&amp;creator=factset&amp;DYN_ARGS=TRUE&amp;DOC_NAME=FAT:FQL_AUDITING_CLIENT_TEMPLATE.FAT&amp;display_string=Audit&amp;VAR:KEY=SBGZSLIBMF&amp;VAR:QUERY=RkZfR1JPU1NfTUdOKEFOTiwyMDEwKQ==&amp;WINDOW=FIRST_POPUP&amp;HEIGHT=450&amp;WIDTH=450&amp;START_MAXIMI","ZED=FALSE&amp;VAR:CALENDAR=FIVEDAY&amp;VAR:SYMBOL=B0D5V5&amp;VAR:INDEX=0"}</definedName>
    <definedName name="_61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145"}</definedName>
    <definedName name="_61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1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144"}</definedName>
    <definedName name="_61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1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143"}</definedName>
    <definedName name="_61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1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142"}</definedName>
    <definedName name="_61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1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141"}</definedName>
    <definedName name="_61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1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140"}</definedName>
    <definedName name="_61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1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139"}</definedName>
    <definedName name="_61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1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138"}</definedName>
    <definedName name="_61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1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137"}</definedName>
    <definedName name="_61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1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136"}</definedName>
    <definedName name="_61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2__123Graph_E_Chart_1A" hidden="1">#REF!</definedName>
    <definedName name="_62__FDSAUDITLINK__" localSheetId="0" hidden="1">{"fdsup://IBCentral/FAT Viewer?action=UPDATE&amp;creator=factset&amp;DOC_NAME=fat:reuters_qtrly_source_window.fat&amp;display_string=Audit&amp;DYN_ARGS=TRUE&amp;VAR:ID1=692737&amp;VAR:RCODE=SCSI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62__FDSAUDITLINK__" hidden="1">{"fdsup://directions/FAT Viewer?action=UPDATE&amp;creator=factset&amp;DYN_ARGS=TRUE&amp;DOC_NAME=FAT:FQL_AUDITING_CLIENT_TEMPLATE.FAT&amp;display_string=Audit&amp;VAR:KEY=YVKJYBMLWZ&amp;VAR:QUERY=RkZfR1JPU1NfTUdOKEFOTiwyMDA5LCwsLFVTRCk=&amp;WINDOW=FIRST_POPUP&amp;HEIGHT=450&amp;WIDTH=450&amp;STAR","T_MAXIMIZED=FALSE&amp;VAR:CALENDAR=FIVEDAY&amp;VAR:SYMBOL=B0D5V5&amp;VAR:INDEX=0"}</definedName>
    <definedName name="_62_0__123Graph_BCHAR" hidden="1">#REF!</definedName>
    <definedName name="_62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135"}</definedName>
    <definedName name="_62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2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134"}</definedName>
    <definedName name="_62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2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133"}</definedName>
    <definedName name="_62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2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132"}</definedName>
    <definedName name="_62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2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131"}</definedName>
    <definedName name="_62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2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130"}</definedName>
    <definedName name="_62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2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129"}</definedName>
    <definedName name="_62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2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128"}</definedName>
    <definedName name="_62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2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127"}</definedName>
    <definedName name="_62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2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126"}</definedName>
    <definedName name="_62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3__123Graph_F_Chart_1A" hidden="1">#REF!</definedName>
    <definedName name="_63__FDSAUDITLINK__" localSheetId="0" hidden="1">{"fdsup://IBCentral/FAT Viewer?action=UPDATE&amp;creator=factset&amp;DOC_NAME=fat:reuters_qtrly_source_window.fat&amp;display_string=Audit&amp;DYN_ARGS=TRUE&amp;VAR:ID1=692737&amp;VAR:RCODE=STLD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63__FDSAUDITLINK__" hidden="1">{"fdsup://directions/FAT Viewer?action=UPDATE&amp;creator=factset&amp;DYN_ARGS=TRUE&amp;DOC_NAME=FAT:FQL_AUDITING_CLIENT_TEMPLATE.FAT&amp;display_string=Audit&amp;VAR:KEY=EZWVCBSDGB&amp;VAR:QUERY=RkZfR1JPU1NfTUdOKEFOTiwyMDEwKQ==&amp;WINDOW=FIRST_POPUP&amp;HEIGHT=450&amp;WIDTH=450&amp;START_MAXIMI","ZED=FALSE&amp;VAR:CALENDAR=FIVEDAY&amp;VAR:SYMBOL=B1J1MT&amp;VAR:INDEX=0"}</definedName>
    <definedName name="_63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125"}</definedName>
    <definedName name="_63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3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124"}</definedName>
    <definedName name="_63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3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123"}</definedName>
    <definedName name="_63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3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122"}</definedName>
    <definedName name="_63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3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121"}</definedName>
    <definedName name="_63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3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120"}</definedName>
    <definedName name="_63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3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119"}</definedName>
    <definedName name="_63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3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118"}</definedName>
    <definedName name="_63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3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117"}</definedName>
    <definedName name="_63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3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116"}</definedName>
    <definedName name="_63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4__123Graph_X_Chart_1A" hidden="1">#REF!</definedName>
    <definedName name="_64__FDSAUDITLINK__" localSheetId="0" hidden="1">{"fdsup://IBCentral/FAT Viewer?action=UPDATE&amp;creator=factset&amp;DOC_NAME=fat:reuters_qtrly_source_window.fat&amp;display_string=Audit&amp;DYN_ARGS=TRUE&amp;VAR:ID1=692737&amp;VAR:RCODE=STLD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64__FDSAUDITLINK__" hidden="1">{"fdsup://directions/FAT Viewer?action=UPDATE&amp;creator=factset&amp;DYN_ARGS=TRUE&amp;DOC_NAME=FAT:FQL_AUDITING_CLIENT_TEMPLATE.FAT&amp;display_string=Audit&amp;VAR:KEY=QFMJOFUBED&amp;VAR:QUERY=RkZfR1JPU1NfTUdOKEFOTiwyMDA5LCwsLFVTRCk=&amp;WINDOW=FIRST_POPUP&amp;HEIGHT=450&amp;WIDTH=450&amp;STAR","T_MAXIMIZED=FALSE&amp;VAR:CALENDAR=FIVEDAY&amp;VAR:SYMBOL=B1J1MT&amp;VAR:INDEX=0"}</definedName>
    <definedName name="_64_0__123Graph_CCHAR" hidden="1">#REF!</definedName>
    <definedName name="_64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115"}</definedName>
    <definedName name="_64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4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114"}</definedName>
    <definedName name="_64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4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113"}</definedName>
    <definedName name="_64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4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112"}</definedName>
    <definedName name="_64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4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111"}</definedName>
    <definedName name="_64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4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110"}</definedName>
    <definedName name="_64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4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109"}</definedName>
    <definedName name="_64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4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108"}</definedName>
    <definedName name="_64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4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107"}</definedName>
    <definedName name="_64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4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106"}</definedName>
    <definedName name="_64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5__123Graph_XChart_1" hidden="1">#REF!</definedName>
    <definedName name="_65__FDSAUDITLINK__" localSheetId="0" hidden="1">{"fdsup://Directions/FactSet Auditing Viewer?action=AUDIT_VALUE&amp;DB=129&amp;ID1=692737&amp;VALUEID=04601&amp;SDATE=2009&amp;PERIODTYPE=ANN_STD&amp;window=popup_no_bar&amp;width=385&amp;height=120&amp;START_MAXIMIZED=FALSE&amp;creator=factset&amp;display_string=Audit"}</definedName>
    <definedName name="_65__FDSAUDITLINK__" hidden="1">{"fdsup://directions/FAT Viewer?action=UPDATE&amp;creator=factset&amp;DYN_ARGS=TRUE&amp;DOC_NAME=FAT:FQL_AUDITING_CLIENT_TEMPLATE.FAT&amp;display_string=Audit&amp;VAR:KEY=YFUNSPENEL&amp;VAR:QUERY=RkZfR1JPU1NfTUdOKEFOTiwyMDEwKQ==&amp;WINDOW=FIRST_POPUP&amp;HEIGHT=450&amp;WIDTH=450&amp;START_MAXIMI","ZED=FALSE&amp;VAR:CALENDAR=FIVEDAY&amp;VAR:SYMBOL=769426&amp;VAR:INDEX=0"}</definedName>
    <definedName name="_65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105"}</definedName>
    <definedName name="_65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5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104"}</definedName>
    <definedName name="_65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5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103"}</definedName>
    <definedName name="_65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5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102"}</definedName>
    <definedName name="_65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5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101"}</definedName>
    <definedName name="_65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5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100"}</definedName>
    <definedName name="_65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5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99"}</definedName>
    <definedName name="_65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5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98"}</definedName>
    <definedName name="_65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5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97"}</definedName>
    <definedName name="_65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5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96"}</definedName>
    <definedName name="_65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6__123Graph_XChart_2" hidden="1">#REF!</definedName>
    <definedName name="_66__FDSAUDITLINK__" localSheetId="0" hidden="1">{"fdsup://Directions/FactSet Auditing Viewer?action=AUDIT_VALUE&amp;DB=129&amp;ID1=692737&amp;VALUEID=04601&amp;SDATE=2008&amp;PERIODTYPE=ANN_STD&amp;window=popup_no_bar&amp;width=385&amp;height=120&amp;START_MAXIMIZED=FALSE&amp;creator=factset&amp;display_string=Audit"}</definedName>
    <definedName name="_66__FDSAUDITLINK__" hidden="1">{"fdsup://directions/FAT Viewer?action=UPDATE&amp;creator=factset&amp;DYN_ARGS=TRUE&amp;DOC_NAME=FAT:FQL_AUDITING_CLIENT_TEMPLATE.FAT&amp;display_string=Audit&amp;VAR:KEY=QXKFGJSFKB&amp;VAR:QUERY=RkZfR1JPU1NfTUdOKEFOTiwyMDA5LCwsLFVTRCk=&amp;WINDOW=FIRST_POPUP&amp;HEIGHT=450&amp;WIDTH=450&amp;STAR","T_MAXIMIZED=FALSE&amp;VAR:CALENDAR=FIVEDAY&amp;VAR:SYMBOL=769426&amp;VAR:INDEX=0"}</definedName>
    <definedName name="_66_0__123Graph_LBL_ACHAR" hidden="1">#REF!</definedName>
    <definedName name="_66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95"}</definedName>
    <definedName name="_66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6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94"}</definedName>
    <definedName name="_66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6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93"}</definedName>
    <definedName name="_66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6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92"}</definedName>
    <definedName name="_66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6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91"}</definedName>
    <definedName name="_66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6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90"}</definedName>
    <definedName name="_66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6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89"}</definedName>
    <definedName name="_66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6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88"}</definedName>
    <definedName name="_66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6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87"}</definedName>
    <definedName name="_66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6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86"}</definedName>
    <definedName name="_66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7__123Graph_XChart_3" hidden="1">#REF!</definedName>
    <definedName name="_67__FDSAUDITLINK__" localSheetId="0" hidden="1">{"fdsup://Directions/FactSet Auditing Viewer?action=AUDIT_VALUE&amp;DB=129&amp;ID1=692737&amp;VALUEID=04601&amp;SDATE=2007&amp;PERIODTYPE=ANN_STD&amp;window=popup_no_bar&amp;width=385&amp;height=120&amp;START_MAXIMIZED=FALSE&amp;creator=factset&amp;display_string=Audit"}</definedName>
    <definedName name="_67__FDSAUDITLINK__" hidden="1">{"fdsup://directions/FAT Viewer?action=UPDATE&amp;creator=factset&amp;DYN_ARGS=TRUE&amp;DOC_NAME=FAT:FQL_AUDITING_CLIENT_TEMPLATE.FAT&amp;display_string=Audit&amp;VAR:KEY=AVKVWDGHSH&amp;VAR:QUERY=RkZfRU5UUlBSX1ZBTF9TQUxFUyhBTk4sMjAxMCwsLCxVU0Qp&amp;WINDOW=FIRST_POPUP&amp;HEIGHT=450&amp;WIDTH=","450&amp;START_MAXIMIZED=FALSE&amp;VAR:CALENDAR=FIVEDAY&amp;VAR:SYMBOL=B5TWX8&amp;VAR:INDEX=0"}</definedName>
    <definedName name="_67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85"}</definedName>
    <definedName name="_67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7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84"}</definedName>
    <definedName name="_67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7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83"}</definedName>
    <definedName name="_67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7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82"}</definedName>
    <definedName name="_67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7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81"}</definedName>
    <definedName name="_67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7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80"}</definedName>
    <definedName name="_67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7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79"}</definedName>
    <definedName name="_67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7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78"}</definedName>
    <definedName name="_67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7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77"}</definedName>
    <definedName name="_67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7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76"}</definedName>
    <definedName name="_67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8__123Graph_XChart_4" hidden="1">#REF!</definedName>
    <definedName name="_68__FDSAUDITLINK__" localSheetId="0" hidden="1">{"fdsup://Directions/FactSet Auditing Viewer?action=AUDIT_VALUE&amp;DB=129&amp;ID1=692737&amp;VALUEID=01551&amp;SDATE=2009&amp;PERIODTYPE=ANN_STD&amp;window=popup_no_bar&amp;width=385&amp;height=120&amp;START_MAXIMIZED=FALSE&amp;creator=factset&amp;display_string=Audit"}</definedName>
    <definedName name="_68__FDSAUDITLINK__" hidden="1">{"fdsup://Directions/FactSet Auditing Viewer?action=AUDIT_VALUE&amp;DB=129&amp;ID1=692737&amp;VALUEID=01551&amp;SDATE=2009&amp;PERIODTYPE=ANN_STD&amp;window=popup_no_bar&amp;width=385&amp;height=120&amp;START_MAXIMIZED=FALSE&amp;creator=factset&amp;display_string=Audit"}</definedName>
    <definedName name="_68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75"}</definedName>
    <definedName name="_68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8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74"}</definedName>
    <definedName name="_68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8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73"}</definedName>
    <definedName name="_68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8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72"}</definedName>
    <definedName name="_68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8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71"}</definedName>
    <definedName name="_68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8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70"}</definedName>
    <definedName name="_68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8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69"}</definedName>
    <definedName name="_68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8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68"}</definedName>
    <definedName name="_68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8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67"}</definedName>
    <definedName name="_68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8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66"}</definedName>
    <definedName name="_68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9__123Graph_XChart_5" hidden="1">#REF!</definedName>
    <definedName name="_69__FDSAUDITLINK__" localSheetId="0" hidden="1">{"fdsup://Directions/FactSet Auditing Viewer?action=AUDIT_VALUE&amp;DB=129&amp;ID1=692737&amp;VALUEID=01551&amp;SDATE=2008&amp;PERIODTYPE=ANN_STD&amp;window=popup_no_bar&amp;width=385&amp;height=120&amp;START_MAXIMIZED=FALSE&amp;creator=factset&amp;display_string=Audit"}</definedName>
    <definedName name="_69__FDSAUDITLINK__" hidden="1">{"fdsup://directions/FAT Viewer?action=UPDATE&amp;creator=factset&amp;DYN_ARGS=TRUE&amp;DOC_NAME=FAT:FQL_AUDITING_CLIENT_TEMPLATE.FAT&amp;display_string=Audit&amp;VAR:KEY=KZELATKDKL&amp;VAR:QUERY=RkZfRU5UUlBSX1ZBTF9TQUxFUyhBTk4sMjAxMCwsLCxVU0Qp&amp;WINDOW=FIRST_POPUP&amp;HEIGHT=450&amp;WIDTH=","450&amp;START_MAXIMIZED=FALSE&amp;VAR:CALENDAR=FIVEDAY&amp;VAR:SYMBOL=B59Q6G&amp;VAR:INDEX=0"}</definedName>
    <definedName name="_69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65"}</definedName>
    <definedName name="_69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9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64"}</definedName>
    <definedName name="_69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9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63"}</definedName>
    <definedName name="_69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9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62"}</definedName>
    <definedName name="_69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9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61"}</definedName>
    <definedName name="_69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9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60"}</definedName>
    <definedName name="_69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9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59"}</definedName>
    <definedName name="_69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9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58"}</definedName>
    <definedName name="_69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9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57"}</definedName>
    <definedName name="_69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9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56"}</definedName>
    <definedName name="_69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6df1_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6df1_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6F208_" localSheetId="0" hidden="1">{"toptrial",#N/A,TRUE,"toptrial";"adjustment",#N/A,TRUE,"toptrial";"voucher",#N/A,TRUE,"toptrial"}</definedName>
    <definedName name="_6F208_" hidden="1">{"toptrial",#N/A,TRUE,"toptrial";"adjustment",#N/A,TRUE,"toptrial";"voucher",#N/A,TRUE,"toptrial"}</definedName>
    <definedName name="_7__123Graph_ACHART_19" hidden="1">#REF!</definedName>
    <definedName name="_7__123Graph_ACHART_5" hidden="1">#REF!</definedName>
    <definedName name="_7__123Graph_AChart_6" hidden="1">#REF!</definedName>
    <definedName name="_7__123Graph_BCHART_1" hidden="1">#REF!</definedName>
    <definedName name="_7__123Graph_BCHART_13" hidden="1">#REF!</definedName>
    <definedName name="_7__123Graph_BCHART_3" hidden="1">#REF!</definedName>
    <definedName name="_7__123Graph_BCHART_4" hidden="1">#REF!</definedName>
    <definedName name="_7__123Graph_XLIQUIDS" hidden="1">#REF!</definedName>
    <definedName name="_7__FDSAUDITLINK__" localSheetId="0" hidden="1">{"fdsup://Directions/FactSet Auditing Viewer?action=AUDIT_VALUE&amp;DB=129&amp;ID1=692737&amp;VALUEID=01001&amp;SDATE=2009&amp;PERIODTYPE=ANN_STD&amp;window=popup_no_bar&amp;width=385&amp;height=120&amp;START_MAXIMIZED=FALSE&amp;creator=factset&amp;display_string=Audit"}</definedName>
    <definedName name="_7__FDSAUDITLINK__" hidden="1">{"fdsup://directions/FAT Viewer?action=UPDATE&amp;creator=factset&amp;DYN_ARGS=TRUE&amp;DOC_NAME=FAT:FQL_AUDITING_CLIENT_TEMPLATE.FAT&amp;display_string=Audit&amp;VAR:KEY=CPEPMNGJIB&amp;VAR:QUERY=RkZfRUJJVERBX09QRVJfTUdOKEFOTiwyMDEwKQ==&amp;WINDOW=FIRST_POPUP&amp;HEIGHT=450&amp;WIDTH=450&amp;STAR","T_MAXIMIZED=FALSE&amp;VAR:CALENDAR=FIVEDAY&amp;VAR:SYMBOL=B5B8GW&amp;VAR:INDEX=0"}</definedName>
    <definedName name="_7_0ACwvu.Pag" hidden="1">#REF!</definedName>
    <definedName name="_70__123Graph_XChart_6" hidden="1">#REF!</definedName>
    <definedName name="_70__FDSAUDITLINK__" localSheetId="0" hidden="1">{"fdsup://Directions/FactSet Auditing Viewer?action=AUDIT_VALUE&amp;DB=129&amp;ID1=692737&amp;VALUEID=01551&amp;SDATE=2007&amp;PERIODTYPE=ANN_STD&amp;window=popup_no_bar&amp;width=385&amp;height=120&amp;START_MAXIMIZED=FALSE&amp;creator=factset&amp;display_string=Audit"}</definedName>
    <definedName name="_70__FDSAUDITLINK__" hidden="1">{"fdsup://directions/FAT Viewer?action=UPDATE&amp;creator=factset&amp;DYN_ARGS=TRUE&amp;DOC_NAME=FAT:FQL_AUDITING_CLIENT_TEMPLATE.FAT&amp;display_string=Audit&amp;VAR:KEY=AJAZKNWRCX&amp;VAR:QUERY=RkZfRU5UUlBSX1ZBTF9TQUxFUyhBTk4sMjAwOSwsLCxVU0Qp&amp;WINDOW=FIRST_POPUP&amp;HEIGHT=450&amp;WIDTH=","450&amp;START_MAXIMIZED=FALSE&amp;VAR:CALENDAR=FIVEDAY&amp;VAR:SYMBOL=B59Q6G&amp;VAR:INDEX=0"}</definedName>
    <definedName name="_70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55"}</definedName>
    <definedName name="_70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0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54"}</definedName>
    <definedName name="_70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0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53"}</definedName>
    <definedName name="_70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0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52"}</definedName>
    <definedName name="_70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0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51"}</definedName>
    <definedName name="_70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0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50"}</definedName>
    <definedName name="_70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0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49"}</definedName>
    <definedName name="_70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0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48"}</definedName>
    <definedName name="_70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0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47"}</definedName>
    <definedName name="_70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0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46"}</definedName>
    <definedName name="_70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1__FDSAUDITLINK__" localSheetId="0" hidden="1">{"fdsup://Directions/FactSet Auditing Viewer?action=AUDIT_VALUE&amp;DB=129&amp;ID1=692737&amp;VALUEID=01001&amp;SDATE=2009&amp;PERIODTYPE=ANN_STD&amp;window=popup_no_bar&amp;width=385&amp;height=120&amp;START_MAXIMIZED=FALSE&amp;creator=factset&amp;display_string=Audit"}</definedName>
    <definedName name="_71__FDSAUDITLINK__" hidden="1">{"fdsup://directions/FAT Viewer?action=UPDATE&amp;creator=factset&amp;DYN_ARGS=TRUE&amp;DOC_NAME=FAT:FQL_AUDITING_CLIENT_TEMPLATE.FAT&amp;display_string=Audit&amp;VAR:KEY=IFYPMFQBIZ&amp;VAR:QUERY=RkZfRU5UUlBSX1ZBTF9TQUxFUyhBTk4sMjAxMCwsLCxVU0Qp&amp;WINDOW=FIRST_POPUP&amp;HEIGHT=450&amp;WIDTH=","450&amp;START_MAXIMIZED=FALSE&amp;VAR:CALENDAR=FIVEDAY&amp;VAR:SYMBOL=B59F84&amp;VAR:INDEX=0"}</definedName>
    <definedName name="_71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45"}</definedName>
    <definedName name="_71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1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44"}</definedName>
    <definedName name="_71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1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43"}</definedName>
    <definedName name="_71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1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42"}</definedName>
    <definedName name="_71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1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41"}</definedName>
    <definedName name="_71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1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40"}</definedName>
    <definedName name="_71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1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39"}</definedName>
    <definedName name="_71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1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38"}</definedName>
    <definedName name="_71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1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37"}</definedName>
    <definedName name="_71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1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36"}</definedName>
    <definedName name="_71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2__FDSAUDITLINK__" localSheetId="0" hidden="1">{"fdsup://Directions/FactSet Auditing Viewer?action=AUDIT_VALUE&amp;DB=129&amp;ID1=692737&amp;VALUEID=01001&amp;SDATE=2008&amp;PERIODTYPE=ANN_STD&amp;window=popup_no_bar&amp;width=385&amp;height=120&amp;START_MAXIMIZED=FALSE&amp;creator=factset&amp;display_string=Audit"}</definedName>
    <definedName name="_72__FDSAUDITLINK__" hidden="1">{"fdsup://directions/FAT Viewer?action=UPDATE&amp;creator=factset&amp;DYN_ARGS=TRUE&amp;DOC_NAME=FAT:FQL_AUDITING_CLIENT_TEMPLATE.FAT&amp;display_string=Audit&amp;VAR:KEY=SBEBKVSFYP&amp;VAR:QUERY=RkZfRU5UUlBSX1ZBTF9TQUxFUyhBTk4sMjAwOSwsLCxVU0Qp&amp;WINDOW=FIRST_POPUP&amp;HEIGHT=450&amp;WIDTH=","450&amp;START_MAXIMIZED=FALSE&amp;VAR:CALENDAR=FIVEDAY&amp;VAR:SYMBOL=B59F84&amp;VAR:INDEX=0"}</definedName>
    <definedName name="_72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35"}</definedName>
    <definedName name="_72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2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34"}</definedName>
    <definedName name="_72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2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33"}</definedName>
    <definedName name="_72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2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32"}</definedName>
    <definedName name="_72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2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31"}</definedName>
    <definedName name="_72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2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30"}</definedName>
    <definedName name="_72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2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29"}</definedName>
    <definedName name="_72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2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28"}</definedName>
    <definedName name="_72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2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27"}</definedName>
    <definedName name="_72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2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26"}</definedName>
    <definedName name="_72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3__FDSAUDITLINK__" localSheetId="0" hidden="1">{"fdsup://Directions/FactSet Auditing Viewer?action=AUDIT_VALUE&amp;DB=129&amp;ID1=692737&amp;VALUEID=01001&amp;SDATE=2007&amp;PERIODTYPE=ANN_STD&amp;window=popup_no_bar&amp;width=385&amp;height=120&amp;START_MAXIMIZED=FALSE&amp;creator=factset&amp;display_string=Audit"}</definedName>
    <definedName name="_73__FDSAUDITLINK__" hidden="1">{"fdsup://directions/FAT Viewer?action=UPDATE&amp;creator=factset&amp;DYN_ARGS=TRUE&amp;DOC_NAME=FAT:FQL_AUDITING_CLIENT_TEMPLATE.FAT&amp;display_string=Audit&amp;VAR:KEY=WVYPUPWRYH&amp;VAR:QUERY=RkZfRU5UUlBSX1ZBTF9TQUxFUyhBTk4sMjAxMCwsLCxVU0Qp&amp;WINDOW=FIRST_POPUP&amp;HEIGHT=450&amp;WIDTH=","450&amp;START_MAXIMIZED=FALSE&amp;VAR:CALENDAR=FIVEDAY&amp;VAR:SYMBOL=B5B8GW&amp;VAR:INDEX=0"}</definedName>
    <definedName name="_73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25"}</definedName>
    <definedName name="_73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3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"}</definedName>
    <definedName name="_73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3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"}</definedName>
    <definedName name="_73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3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"}</definedName>
    <definedName name="_73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3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"}</definedName>
    <definedName name="_73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3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"}</definedName>
    <definedName name="_73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3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"}</definedName>
    <definedName name="_73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3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"}</definedName>
    <definedName name="_73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3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"}</definedName>
    <definedName name="_73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3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"}</definedName>
    <definedName name="_73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4__FDSAUDITLINK__" localSheetId="0" hidden="1">{"fdsup://IBCentral/FAT Viewer?action=UPDATE&amp;creator=factset&amp;DOC_NAME=fat:reuters_qtrly_source_window.fat&amp;display_string=Audit&amp;DYN_ARGS=TRUE&amp;VAR:ID1=692737&amp;VAR:RCODE=FDSPFDSTKTOTAL&amp;VAR:SDATE=20100999&amp;VAR:FREQ=Quarterly&amp;VAR:RELITEM=RP&amp;VAR:CURRENCY=SGD&amp;VAR:CU","RRSOURCE=EXSHARE&amp;VAR:NATFREQ=QUARTERLY&amp;VAR:RFIELD=FINALIZED&amp;VAR:DB_TYPE=&amp;VAR:UNITS=M&amp;window=popup&amp;width=450&amp;height=300&amp;START_MAXIMIZED=FALSE"}</definedName>
    <definedName name="_74__FDSAUDITLINK__" hidden="1">{"fdsup://directions/FAT Viewer?action=UPDATE&amp;creator=factset&amp;DYN_ARGS=TRUE&amp;DOC_NAME=FAT:FQL_AUDITING_CLIENT_TEMPLATE.FAT&amp;display_string=Audit&amp;VAR:KEY=ADWRIJKVMF&amp;VAR:QUERY=RkZfRU5UUlBSX1ZBTF9TQUxFUyhBTk4sMjAwOSwsLCxVU0Qp&amp;WINDOW=FIRST_POPUP&amp;HEIGHT=450&amp;WIDTH=","450&amp;START_MAXIMIZED=FALSE&amp;VAR:CALENDAR=FIVEDAY&amp;VAR:SYMBOL=B5B8GW&amp;VAR:INDEX=0"}</definedName>
    <definedName name="_74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"}</definedName>
    <definedName name="_74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4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"}</definedName>
    <definedName name="_74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4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"}</definedName>
    <definedName name="_74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4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"}</definedName>
    <definedName name="_74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4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"}</definedName>
    <definedName name="_74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4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"}</definedName>
    <definedName name="_74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4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"}</definedName>
    <definedName name="_74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4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"}</definedName>
    <definedName name="_74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4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"}</definedName>
    <definedName name="_74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4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"}</definedName>
    <definedName name="_74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5__FDSAUDITLINK__" localSheetId="0" hidden="1">{"fdsup://IBCentral/FAT Viewer?action=UPDATE&amp;creator=factset&amp;DOC_NAME=fat:reuters_qtrly_source_window.fat&amp;display_string=Audit&amp;DYN_ARGS=TRUE&amp;VAR:ID1=692737&amp;VAR:RCODE=LMIN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75__FDSAUDITLINK__" hidden="1">{"fdsup://directions/FAT Viewer?action=UPDATE&amp;creator=factset&amp;DYN_ARGS=TRUE&amp;DOC_NAME=FAT:FQL_AUDITING_CLIENT_TEMPLATE.FAT&amp;display_string=Audit&amp;VAR:KEY=ALUXMLQPEL&amp;VAR:QUERY=RkZfRU5UUlBSX1ZBTF9TQUxFUyhBTk4sMjAxMCwsLCxVU0Qp&amp;WINDOW=FIRST_POPUP&amp;HEIGHT=450&amp;WIDTH=","450&amp;START_MAXIMIZED=FALSE&amp;VAR:CALENDAR=FIVEDAY&amp;VAR:SYMBOL=B1H11J&amp;VAR:INDEX=0"}</definedName>
    <definedName name="_75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"}</definedName>
    <definedName name="_75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5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"}</definedName>
    <definedName name="_75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5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"}</definedName>
    <definedName name="_75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5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"}</definedName>
    <definedName name="_75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5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0"}</definedName>
    <definedName name="_75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5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251"}</definedName>
    <definedName name="_75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5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250"}</definedName>
    <definedName name="_75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5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249"}</definedName>
    <definedName name="_75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5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248"}</definedName>
    <definedName name="_75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5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247"}</definedName>
    <definedName name="_75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6__FDSAUDITLINK__" localSheetId="0" hidden="1">{"fdsup://IBCentral/FAT Viewer?action=UPDATE&amp;creator=factset&amp;DOC_NAME=fat:reuters_qtrly_source_window.fat&amp;display_string=Audit&amp;DYN_ARGS=TRUE&amp;VAR:ID1=692737&amp;VAR:RCODE=LMIN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76__FDSAUDITLINK__" hidden="1">{"fdsup://directions/FAT Viewer?action=UPDATE&amp;creator=factset&amp;DYN_ARGS=TRUE&amp;DOC_NAME=FAT:FQL_AUDITING_CLIENT_TEMPLATE.FAT&amp;display_string=Audit&amp;VAR:KEY=KTCJAZKZKB&amp;VAR:QUERY=RkZfRU5UUlBSX1ZBTF9TQUxFUyhBTk4sMjAwOSwsLCxVU0Qp&amp;WINDOW=FIRST_POPUP&amp;HEIGHT=450&amp;WIDTH=","450&amp;START_MAXIMIZED=FALSE&amp;VAR:CALENDAR=FIVEDAY&amp;VAR:SYMBOL=B1H11J&amp;VAR:INDEX=0"}</definedName>
    <definedName name="_76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246"}</definedName>
    <definedName name="_76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6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245"}</definedName>
    <definedName name="_76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6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244"}</definedName>
    <definedName name="_76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6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243"}</definedName>
    <definedName name="_76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6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242"}</definedName>
    <definedName name="_76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6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241"}</definedName>
    <definedName name="_76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6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240"}</definedName>
    <definedName name="_76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6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239"}</definedName>
    <definedName name="_76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6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238"}</definedName>
    <definedName name="_76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6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237"}</definedName>
    <definedName name="_76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7__FDSAUDITLINK__" localSheetId="0" hidden="1">{"fdsup://IBCentral/FAT Viewer?action=UPDATE&amp;creator=factset&amp;DOC_NAME=fat:reuters_qtrly_source_window.fat&amp;display_string=Audit&amp;DYN_ARGS=TRUE&amp;VAR:ID1=692737&amp;VAR:RCODE=SCSI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77__FDSAUDITLINK__" hidden="1">{"fdsup://directions/FAT Viewer?action=UPDATE&amp;creator=factset&amp;DYN_ARGS=TRUE&amp;DOC_NAME=FAT:FQL_AUDITING_CLIENT_TEMPLATE.FAT&amp;display_string=Audit&amp;VAR:KEY=IPOXUJADAN&amp;VAR:QUERY=RkZfRU5UUlBSX1ZBTF9TQUxFUyhBTk4sMjAxMCwsLCxVU0Qp&amp;WINDOW=FIRST_POPUP&amp;HEIGHT=450&amp;WIDTH=","450&amp;START_MAXIMIZED=FALSE&amp;VAR:CALENDAR=FIVEDAY&amp;VAR:SYMBOL=B599D1&amp;VAR:INDEX=0"}</definedName>
    <definedName name="_77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236"}</definedName>
    <definedName name="_77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7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235"}</definedName>
    <definedName name="_77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7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234"}</definedName>
    <definedName name="_77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7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233"}</definedName>
    <definedName name="_77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7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232"}</definedName>
    <definedName name="_77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7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231"}</definedName>
    <definedName name="_77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7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230"}</definedName>
    <definedName name="_77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7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229"}</definedName>
    <definedName name="_77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7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228"}</definedName>
    <definedName name="_77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7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227"}</definedName>
    <definedName name="_77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8__FDSAUDITLINK__" localSheetId="0" hidden="1">{"fdsup://IBCentral/FAT Viewer?action=UPDATE&amp;creator=factset&amp;DOC_NAME=fat:reuters_qtrly_source_window.fat&amp;display_string=Audit&amp;DYN_ARGS=TRUE&amp;VAR:ID1=692737&amp;VAR:RCODE=SCSI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78__FDSAUDITLINK__" hidden="1">{"fdsup://directions/FAT Viewer?action=UPDATE&amp;creator=factset&amp;DYN_ARGS=TRUE&amp;DOC_NAME=FAT:FQL_AUDITING_CLIENT_TEMPLATE.FAT&amp;display_string=Audit&amp;VAR:KEY=IRAJOPWTMF&amp;VAR:QUERY=RkZfRU5UUlBSX1ZBTF9TQUxFUyhBTk4sMjAwOSwsLCxVU0Qp&amp;WINDOW=FIRST_POPUP&amp;HEIGHT=450&amp;WIDTH=","450&amp;START_MAXIMIZED=FALSE&amp;VAR:CALENDAR=FIVEDAY&amp;VAR:SYMBOL=B599D1&amp;VAR:INDEX=0"}</definedName>
    <definedName name="_78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226"}</definedName>
    <definedName name="_78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8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225"}</definedName>
    <definedName name="_78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8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224"}</definedName>
    <definedName name="_78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8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223"}</definedName>
    <definedName name="_78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8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222"}</definedName>
    <definedName name="_78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8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221"}</definedName>
    <definedName name="_78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8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220"}</definedName>
    <definedName name="_78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8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219"}</definedName>
    <definedName name="_78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8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218"}</definedName>
    <definedName name="_78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8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217"}</definedName>
    <definedName name="_78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9__FDSAUDITLINK__" localSheetId="0" hidden="1">{"fdsup://IBCentral/FAT Viewer?action=UPDATE&amp;creator=factset&amp;DOC_NAME=fat:reuters_qtrly_source_window.fat&amp;display_string=Audit&amp;DYN_ARGS=TRUE&amp;VAR:ID1=692737&amp;VAR:RCODE=STLD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79__FDSAUDITLINK__" hidden="1">{"fdsup://directions/FAT Viewer?action=UPDATE&amp;creator=factset&amp;DYN_ARGS=TRUE&amp;DOC_NAME=FAT:FQL_AUDITING_CLIENT_TEMPLATE.FAT&amp;display_string=Audit&amp;VAR:KEY=ITGVCRCJMD&amp;VAR:QUERY=RkZfRU5UUlBSX1ZBTF9TQUxFUyhBTk4sMjAxMCwsLCxVU0Qp&amp;WINDOW=FIRST_POPUP&amp;HEIGHT=450&amp;WIDTH=","450&amp;START_MAXIMIZED=FALSE&amp;VAR:CALENDAR=FIVEDAY&amp;VAR:SYMBOL=B58MYJ&amp;VAR:INDEX=0"}</definedName>
    <definedName name="_79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216"}</definedName>
    <definedName name="_79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9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215"}</definedName>
    <definedName name="_79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9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214"}</definedName>
    <definedName name="_79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9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213"}</definedName>
    <definedName name="_79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9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212"}</definedName>
    <definedName name="_79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9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211"}</definedName>
    <definedName name="_79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9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210"}</definedName>
    <definedName name="_79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9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209"}</definedName>
    <definedName name="_79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9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208"}</definedName>
    <definedName name="_79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9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207"}</definedName>
    <definedName name="_79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7df2_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7df2_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8___123Graph_ATEILM_RKTE" hidden="1">#REF!</definedName>
    <definedName name="_8__123Graph_ACHART_7" hidden="1">#REF!</definedName>
    <definedName name="_8__123Graph_ATEILM_RKTE" hidden="1">#REF!</definedName>
    <definedName name="_8__123Graph_B_Chart_1A" hidden="1">#REF!</definedName>
    <definedName name="_8__123Graph_BCHART_14" hidden="1">#REF!</definedName>
    <definedName name="_8__123Graph_BCHART_3" hidden="1">#REF!</definedName>
    <definedName name="_8__123Graph_BCHART_8" hidden="1">#REF!</definedName>
    <definedName name="_8__123Graph_CCHART_1" hidden="1">#REF!</definedName>
    <definedName name="_8__123Graph_LBL_ACHART_1" hidden="1">#REF!</definedName>
    <definedName name="_8__123Graph_XR_M_MARG" hidden="1">#REF!</definedName>
    <definedName name="_8__FDSAUDITLINK__" localSheetId="0" hidden="1">{"fdsup://Directions/FactSet Auditing Viewer?action=AUDIT_VALUE&amp;DB=129&amp;ID1=692737&amp;VALUEID=01001&amp;SDATE=2008&amp;PERIODTYPE=ANN_STD&amp;window=popup_no_bar&amp;width=385&amp;height=120&amp;START_MAXIMIZED=FALSE&amp;creator=factset&amp;display_string=Audit"}</definedName>
    <definedName name="_8__FDSAUDITLINK__" hidden="1">{"fdsup://directions/FAT Viewer?action=UPDATE&amp;creator=factset&amp;DYN_ARGS=TRUE&amp;DOC_NAME=FAT:FQL_AUDITING_CLIENT_TEMPLATE.FAT&amp;display_string=Audit&amp;VAR:KEY=SVGBIRGBQJ&amp;VAR:QUERY=RkZfRUJJVERBX09QRVJfTUdOKEFOTiwyMDA5LCwsLFVTRCk=&amp;WINDOW=FIRST_POPUP&amp;HEIGHT=450&amp;WIDTH=","450&amp;START_MAXIMIZED=FALSE&amp;VAR:CALENDAR=FIVEDAY&amp;VAR:SYMBOL=B5B8GW&amp;VAR:INDEX=0"}</definedName>
    <definedName name="_8_0Swvu.Pag" hidden="1">#REF!</definedName>
    <definedName name="_80__FDSAUDITLINK__" localSheetId="0" hidden="1">{"fdsup://IBCentral/FAT Viewer?action=UPDATE&amp;creator=factset&amp;DOC_NAME=fat:reuters_qtrly_source_window.fat&amp;display_string=Audit&amp;DYN_ARGS=TRUE&amp;VAR:ID1=692737&amp;VAR:RCODE=STLD&amp;VAR:SDATE=20100999&amp;VAR:FREQ=Quarterly&amp;VAR:RELITEM=RP&amp;VAR:CURRENCY=SGD&amp;VAR:CURRSOURCE=E","XSHARE&amp;VAR:NATFREQ=QUARTERLY&amp;VAR:RFIELD=FINALIZED&amp;VAR:DB_TYPE=&amp;VAR:UNITS=M&amp;window=popup&amp;width=450&amp;height=300&amp;START_MAXIMIZED=FALSE"}</definedName>
    <definedName name="_80__FDSAUDITLINK__" hidden="1">{"fdsup://directions/FAT Viewer?action=UPDATE&amp;creator=factset&amp;DYN_ARGS=TRUE&amp;DOC_NAME=FAT:FQL_AUDITING_CLIENT_TEMPLATE.FAT&amp;display_string=Audit&amp;VAR:KEY=UDEVMJIDMT&amp;VAR:QUERY=RkZfRU5UUlBSX1ZBTF9TQUxFUyhBTk4sMjAwOSwsLCxVU0Qp&amp;WINDOW=FIRST_POPUP&amp;HEIGHT=450&amp;WIDTH=","450&amp;START_MAXIMIZED=FALSE&amp;VAR:CALENDAR=FIVEDAY&amp;VAR:SYMBOL=B58MYJ&amp;VAR:INDEX=0"}</definedName>
    <definedName name="_80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206"}</definedName>
    <definedName name="_80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0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205"}</definedName>
    <definedName name="_80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0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204"}</definedName>
    <definedName name="_80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0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203"}</definedName>
    <definedName name="_80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0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202"}</definedName>
    <definedName name="_80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0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201"}</definedName>
    <definedName name="_80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0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200"}</definedName>
    <definedName name="_80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0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199"}</definedName>
    <definedName name="_80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0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198"}</definedName>
    <definedName name="_80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0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197"}</definedName>
    <definedName name="_80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1__FDSAUDITLINK__" localSheetId="0" hidden="1">{"fdsup://IBCentral/FAT Viewer?action=UPDATE&amp;creator=factset&amp;DOC_NAME=fat:reuters_annual_source_window.fat&amp;display_string=Audit&amp;DYN_ARGS=TRUE&amp;VAR:ID1=80542330&amp;VAR:RCODE=FDSPFDSTKTOTAL&amp;VAR:SDATE=20091299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81__FDSAUDITLINK__" hidden="1">{"fdsup://directions/FAT Viewer?action=UPDATE&amp;creator=factset&amp;DYN_ARGS=TRUE&amp;DOC_NAME=FAT:FQL_AUDITING_CLIENT_TEMPLATE.FAT&amp;display_string=Audit&amp;VAR:KEY=QBKLMNCXUD&amp;VAR:QUERY=RkZfRU5UUlBSX1ZBTF9TQUxFUyhBTk4sMjAxMCwsLCxVU0Qp&amp;WINDOW=FIRST_POPUP&amp;HEIGHT=450&amp;WIDTH=","450&amp;START_MAXIMIZED=FALSE&amp;VAR:CALENDAR=FIVEDAY&amp;VAR:SYMBOL=B1VZKH&amp;VAR:INDEX=0"}</definedName>
    <definedName name="_81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196"}</definedName>
    <definedName name="_81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1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195"}</definedName>
    <definedName name="_81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1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194"}</definedName>
    <definedName name="_81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1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193"}</definedName>
    <definedName name="_81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1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192"}</definedName>
    <definedName name="_81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1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191"}</definedName>
    <definedName name="_81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1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190"}</definedName>
    <definedName name="_81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1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189"}</definedName>
    <definedName name="_81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1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188"}</definedName>
    <definedName name="_81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1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187"}</definedName>
    <definedName name="_81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2__FDSAUDITLINK__" localSheetId="0" hidden="1">{"fdsup://IBCentral/FAT Viewer?action=UPDATE&amp;creator=factset&amp;DOC_NAME=fat:reuters_annual_source_window.fat&amp;display_string=Audit&amp;DYN_ARGS=TRUE&amp;VAR:ID1=80542330&amp;VAR:RCODE=FDSPFDSTKTOTAL&amp;VAR:SDATE=20091299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82__FDSAUDITLINK__" hidden="1">{"fdsup://directions/FAT Viewer?action=UPDATE&amp;creator=factset&amp;DYN_ARGS=TRUE&amp;DOC_NAME=FAT:FQL_AUDITING_CLIENT_TEMPLATE.FAT&amp;display_string=Audit&amp;VAR:KEY=UJGDSNOFKX&amp;VAR:QUERY=RkZfRU5UUlBSX1ZBTF9TQUxFUyhBTk4sMjAwOSwsLCxVU0Qp&amp;WINDOW=FIRST_POPUP&amp;HEIGHT=450&amp;WIDTH=","450&amp;START_MAXIMIZED=FALSE&amp;VAR:CALENDAR=FIVEDAY&amp;VAR:SYMBOL=B1VZKH&amp;VAR:INDEX=0"}</definedName>
    <definedName name="_82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186"}</definedName>
    <definedName name="_82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2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185"}</definedName>
    <definedName name="_82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2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184"}</definedName>
    <definedName name="_82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2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183"}</definedName>
    <definedName name="_82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2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182"}</definedName>
    <definedName name="_82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2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181"}</definedName>
    <definedName name="_82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2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180"}</definedName>
    <definedName name="_82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2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179"}</definedName>
    <definedName name="_82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2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178"}</definedName>
    <definedName name="_82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2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177"}</definedName>
    <definedName name="_82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3__FDSAUDITLINK__" localSheetId="0" hidden="1">{"fdsup://IBCentral/FAT Viewer?action=UPDATE&amp;creator=factset&amp;DOC_NAME=fat:reuters_qtrly_source_window.fat&amp;display_string=Audit&amp;DYN_ARGS=TRUE&amp;VAR:ID1=80542330&amp;VAR:RCODE=FDSPFDSTKTOTAL&amp;VAR:SDATE=20100999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83__FDSAUDITLINK__" hidden="1">{"fdsup://directions/FAT Viewer?action=UPDATE&amp;creator=factset&amp;DYN_ARGS=TRUE&amp;DOC_NAME=FAT:FQL_AUDITING_CLIENT_TEMPLATE.FAT&amp;display_string=Audit&amp;VAR:KEY=QZOBCNABIB&amp;VAR:QUERY=RkZfRU5UUlBSX1ZBTF9TQUxFUyhBTk4sMjAxMCwsLCxVU0Qp&amp;WINDOW=FIRST_POPUP&amp;HEIGHT=450&amp;WIDTH=","450&amp;START_MAXIMIZED=FALSE&amp;VAR:CALENDAR=FIVEDAY&amp;VAR:SYMBOL=B0D5V5&amp;VAR:INDEX=0"}</definedName>
    <definedName name="_83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176"}</definedName>
    <definedName name="_83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3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175"}</definedName>
    <definedName name="_83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3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174"}</definedName>
    <definedName name="_83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3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173"}</definedName>
    <definedName name="_83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3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172"}</definedName>
    <definedName name="_83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3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171"}</definedName>
    <definedName name="_83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3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170"}</definedName>
    <definedName name="_83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3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169"}</definedName>
    <definedName name="_83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3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168"}</definedName>
    <definedName name="_83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3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167"}</definedName>
    <definedName name="_83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168"}</definedName>
    <definedName name="_84__FDSAUDITLINK__" hidden="1">{"fdsup://directions/FAT Viewer?action=UPDATE&amp;creator=factset&amp;DYN_ARGS=TRUE&amp;DOC_NAME=FAT:FQL_AUDITING_CLIENT_TEMPLATE.FAT&amp;display_string=Audit&amp;VAR:KEY=EDOLEDSLMP&amp;VAR:QUERY=RkZfRU5UUlBSX1ZBTF9TQUxFUyhBTk4sMjAwOSwsLCxVU0Qp&amp;WINDOW=FIRST_POPUP&amp;HEIGHT=450&amp;WIDTH=","450&amp;START_MAXIMIZED=FALSE&amp;VAR:CALENDAR=FIVEDAY&amp;VAR:SYMBOL=B0D5V5&amp;VAR:INDEX=0"}</definedName>
    <definedName name="_84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166"}</definedName>
    <definedName name="_84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4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165"}</definedName>
    <definedName name="_84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4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164"}</definedName>
    <definedName name="_84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4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163"}</definedName>
    <definedName name="_84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4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162"}</definedName>
    <definedName name="_84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4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161"}</definedName>
    <definedName name="_84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4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160"}</definedName>
    <definedName name="_84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4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159"}</definedName>
    <definedName name="_84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4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158"}</definedName>
    <definedName name="_84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4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157"}</definedName>
    <definedName name="_84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167"}</definedName>
    <definedName name="_85__FDSAUDITLINK__" hidden="1">{"fdsup://directions/FAT Viewer?action=UPDATE&amp;creator=factset&amp;DYN_ARGS=TRUE&amp;DOC_NAME=FAT:FQL_AUDITING_CLIENT_TEMPLATE.FAT&amp;display_string=Audit&amp;VAR:KEY=GLUFORKTMN&amp;VAR:QUERY=RkZfRU5UUlBSX1ZBTF9TQUxFUyhBTk4sMjAxMCwsLCxVU0Qp&amp;WINDOW=FIRST_POPUP&amp;HEIGHT=450&amp;WIDTH=","450&amp;START_MAXIMIZED=FALSE&amp;VAR:CALENDAR=FIVEDAY&amp;VAR:SYMBOL=B1J1MT&amp;VAR:INDEX=0"}</definedName>
    <definedName name="_85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156"}</definedName>
    <definedName name="_85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5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155"}</definedName>
    <definedName name="_85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5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154"}</definedName>
    <definedName name="_85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5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153"}</definedName>
    <definedName name="_85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5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152"}</definedName>
    <definedName name="_85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5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151"}</definedName>
    <definedName name="_85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5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150"}</definedName>
    <definedName name="_85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5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149"}</definedName>
    <definedName name="_85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5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148"}</definedName>
    <definedName name="_85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5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147"}</definedName>
    <definedName name="_85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166"}</definedName>
    <definedName name="_86__FDSAUDITLINK__" hidden="1">{"fdsup://directions/FAT Viewer?action=UPDATE&amp;creator=factset&amp;DYN_ARGS=TRUE&amp;DOC_NAME=FAT:FQL_AUDITING_CLIENT_TEMPLATE.FAT&amp;display_string=Audit&amp;VAR:KEY=OXSXSFEDCP&amp;VAR:QUERY=RkZfRU5UUlBSX1ZBTF9TQUxFUyhBTk4sMjAwOSwsLCxVU0Qp&amp;WINDOW=FIRST_POPUP&amp;HEIGHT=450&amp;WIDTH=","450&amp;START_MAXIMIZED=FALSE&amp;VAR:CALENDAR=FIVEDAY&amp;VAR:SYMBOL=B1J1MT&amp;VAR:INDEX=0"}</definedName>
    <definedName name="_86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146"}</definedName>
    <definedName name="_86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6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145"}</definedName>
    <definedName name="_86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6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144"}</definedName>
    <definedName name="_86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6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143"}</definedName>
    <definedName name="_86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6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142"}</definedName>
    <definedName name="_86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6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141"}</definedName>
    <definedName name="_86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6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140"}</definedName>
    <definedName name="_86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6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139"}</definedName>
    <definedName name="_86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6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138"}</definedName>
    <definedName name="_86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6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137"}</definedName>
    <definedName name="_86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165"}</definedName>
    <definedName name="_87__FDSAUDITLINK__" hidden="1">{"fdsup://directions/FAT Viewer?action=UPDATE&amp;creator=factset&amp;DYN_ARGS=TRUE&amp;DOC_NAME=FAT:FQL_AUDITING_CLIENT_TEMPLATE.FAT&amp;display_string=Audit&amp;VAR:KEY=ENSVONYHYN&amp;VAR:QUERY=RkZfRU5UUlBSX1ZBTF9TQUxFUyhBTk4sMjAxMCwsLCxVU0Qp&amp;WINDOW=FIRST_POPUP&amp;HEIGHT=450&amp;WIDTH=","450&amp;START_MAXIMIZED=FALSE&amp;VAR:CALENDAR=FIVEDAY&amp;VAR:SYMBOL=769426&amp;VAR:INDEX=0"}</definedName>
    <definedName name="_87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136"}</definedName>
    <definedName name="_87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7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135"}</definedName>
    <definedName name="_87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7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134"}</definedName>
    <definedName name="_87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7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133"}</definedName>
    <definedName name="_87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7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132"}</definedName>
    <definedName name="_87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7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131"}</definedName>
    <definedName name="_87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7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130"}</definedName>
    <definedName name="_87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7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129"}</definedName>
    <definedName name="_87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7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128"}</definedName>
    <definedName name="_87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7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127"}</definedName>
    <definedName name="_87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164"}</definedName>
    <definedName name="_88__FDSAUDITLINK__" hidden="1">{"fdsup://directions/FAT Viewer?action=UPDATE&amp;creator=factset&amp;DYN_ARGS=TRUE&amp;DOC_NAME=FAT:FQL_AUDITING_CLIENT_TEMPLATE.FAT&amp;display_string=Audit&amp;VAR:KEY=YTSLSXSDEB&amp;VAR:QUERY=RkZfRU5UUlBSX1ZBTF9TQUxFUyhBTk4sMjAwOSwsLCxVU0Qp&amp;WINDOW=FIRST_POPUP&amp;HEIGHT=450&amp;WIDTH=","450&amp;START_MAXIMIZED=FALSE&amp;VAR:CALENDAR=FIVEDAY&amp;VAR:SYMBOL=769426&amp;VAR:INDEX=0"}</definedName>
    <definedName name="_88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126"}</definedName>
    <definedName name="_88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8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125"}</definedName>
    <definedName name="_88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8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124"}</definedName>
    <definedName name="_88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8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123"}</definedName>
    <definedName name="_88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8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122"}</definedName>
    <definedName name="_88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8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121"}</definedName>
    <definedName name="_88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8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120"}</definedName>
    <definedName name="_88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8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119"}</definedName>
    <definedName name="_88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8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118"}</definedName>
    <definedName name="_88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8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117"}</definedName>
    <definedName name="_88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163"}</definedName>
    <definedName name="_89__FDSAUDITLINK__" hidden="1">{"fdsup://directions/FAT Viewer?action=UPDATE&amp;creator=factset&amp;DYN_ARGS=TRUE&amp;DOC_NAME=FAT:FQL_AUDITING_CLIENT_TEMPLATE.FAT&amp;display_string=Audit&amp;VAR:KEY=SDQPOZYTUL&amp;VAR:QUERY=RkZfRU5UUlBSX1ZBTF9FQklUREFfT1BFUihBTk4sMjAxMCwsLCxVU0Qp&amp;WINDOW=FIRST_POPUP&amp;HEIGHT=45","0&amp;WIDTH=450&amp;START_MAXIMIZED=FALSE&amp;VAR:CALENDAR=FIVEDAY&amp;VAR:SYMBOL=B5TWX8&amp;VAR:INDEX=0"}</definedName>
    <definedName name="_89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116"}</definedName>
    <definedName name="_89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9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115"}</definedName>
    <definedName name="_89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9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114"}</definedName>
    <definedName name="_89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9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113"}</definedName>
    <definedName name="_89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9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112"}</definedName>
    <definedName name="_89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9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111"}</definedName>
    <definedName name="_89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9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110"}</definedName>
    <definedName name="_89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9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109"}</definedName>
    <definedName name="_89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9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108"}</definedName>
    <definedName name="_89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9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107"}</definedName>
    <definedName name="_89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8E1_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8E1_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9___123Graph_ATEILM_RKTE2" hidden="1">#REF!</definedName>
    <definedName name="_9__123Graph_ACHART_2" hidden="1">#REF!</definedName>
    <definedName name="_9__123Graph_ACHART_9" hidden="1">#REF!</definedName>
    <definedName name="_9__123Graph_ATEILM_RKTE2" hidden="1">#REF!</definedName>
    <definedName name="_9__123Graph_BCHART_15" hidden="1">#REF!</definedName>
    <definedName name="_9__123Graph_BCHART_4" hidden="1">#REF!</definedName>
    <definedName name="_9__123Graph_C_Chart_1A" hidden="1">#REF!</definedName>
    <definedName name="_9__123Graph_CCHART_1" hidden="1">#REF!</definedName>
    <definedName name="_9__123Graph_CCHART_2" hidden="1">#REF!</definedName>
    <definedName name="_9__FDSAUDITLINK__" localSheetId="0" hidden="1">{"fdsup://Directions/FactSet Auditing Viewer?action=AUDIT_VALUE&amp;DB=129&amp;ID1=692737&amp;VALUEID=01001&amp;SDATE=2007&amp;PERIODTYPE=ANN_STD&amp;window=popup_no_bar&amp;width=385&amp;height=120&amp;START_MAXIMIZED=FALSE&amp;creator=factset&amp;display_string=Audit"}</definedName>
    <definedName name="_9__FDSAUDITLINK__" hidden="1">{"fdsup://directions/FAT Viewer?action=UPDATE&amp;creator=factset&amp;DYN_ARGS=TRUE&amp;DOC_NAME=FAT:FQL_AUDITING_CLIENT_TEMPLATE.FAT&amp;display_string=Audit&amp;VAR:KEY=KTWHMDKTQJ&amp;VAR:QUERY=RkZfRUJJVERBX09QRVJfTUdOKEFOTiwyMDEwKQ==&amp;WINDOW=FIRST_POPUP&amp;HEIGHT=450&amp;WIDTH=450&amp;STAR","T_MAXIMIZED=FALSE&amp;VAR:CALENDAR=FIVEDAY&amp;VAR:SYMBOL=B1H11J&amp;VAR:INDEX=0"}</definedName>
    <definedName name="_9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162"}</definedName>
    <definedName name="_90__FDSAUDITLINK__" hidden="1">{"fdsup://directions/FAT Viewer?action=UPDATE&amp;creator=factset&amp;DYN_ARGS=TRUE&amp;DOC_NAME=FAT:FQL_AUDITING_CLIENT_TEMPLATE.FAT&amp;display_string=Audit&amp;VAR:KEY=SDMVADOVEL&amp;VAR:QUERY=RkZfRU5UUlBSX1ZBTF9FQklUREFfT1BFUihBTk4sMjAwOSwsLCxVU0Qp&amp;WINDOW=FIRST_POPUP&amp;HEIGHT=45","0&amp;WIDTH=450&amp;START_MAXIMIZED=FALSE&amp;VAR:CALENDAR=FIVEDAY&amp;VAR:SYMBOL=B5TWX8&amp;VAR:INDEX=0"}</definedName>
    <definedName name="_90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106"}</definedName>
    <definedName name="_90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0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105"}</definedName>
    <definedName name="_90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0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104"}</definedName>
    <definedName name="_90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0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103"}</definedName>
    <definedName name="_90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0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102"}</definedName>
    <definedName name="_90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0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101"}</definedName>
    <definedName name="_90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0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100"}</definedName>
    <definedName name="_90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0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99"}</definedName>
    <definedName name="_90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0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98"}</definedName>
    <definedName name="_90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0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97"}</definedName>
    <definedName name="_90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161"}</definedName>
    <definedName name="_91__FDSAUDITLINK__" hidden="1">{"fdsup://directions/FAT Viewer?action=UPDATE&amp;creator=factset&amp;DYN_ARGS=TRUE&amp;DOC_NAME=FAT:FQL_AUDITING_CLIENT_TEMPLATE.FAT&amp;display_string=Audit&amp;VAR:KEY=KVYTIBABMP&amp;VAR:QUERY=RkZfRU5UUlBSX1ZBTF9FQklUREFfT1BFUihBTk4sMjAxMCwsLCxVU0Qp&amp;WINDOW=FIRST_POPUP&amp;HEIGHT=45","0&amp;WIDTH=450&amp;START_MAXIMIZED=FALSE&amp;VAR:CALENDAR=FIVEDAY&amp;VAR:SYMBOL=B59Q6G&amp;VAR:INDEX=0"}</definedName>
    <definedName name="_91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96"}</definedName>
    <definedName name="_91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1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95"}</definedName>
    <definedName name="_91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1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94"}</definedName>
    <definedName name="_91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1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93"}</definedName>
    <definedName name="_91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1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92"}</definedName>
    <definedName name="_91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1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91"}</definedName>
    <definedName name="_91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1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90"}</definedName>
    <definedName name="_91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1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89"}</definedName>
    <definedName name="_91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1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88"}</definedName>
    <definedName name="_91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1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87"}</definedName>
    <definedName name="_91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160"}</definedName>
    <definedName name="_92__FDSAUDITLINK__" hidden="1">{"fdsup://directions/FAT Viewer?action=UPDATE&amp;creator=factset&amp;DYN_ARGS=TRUE&amp;DOC_NAME=FAT:FQL_AUDITING_CLIENT_TEMPLATE.FAT&amp;display_string=Audit&amp;VAR:KEY=WLCFKDSNCN&amp;VAR:QUERY=RkZfRU5UUlBSX1ZBTF9FQklUREFfT1BFUihBTk4sMjAwOSwsLCxVU0Qp&amp;WINDOW=FIRST_POPUP&amp;HEIGHT=45","0&amp;WIDTH=450&amp;START_MAXIMIZED=FALSE&amp;VAR:CALENDAR=FIVEDAY&amp;VAR:SYMBOL=B59Q6G&amp;VAR:INDEX=0"}</definedName>
    <definedName name="_92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86"}</definedName>
    <definedName name="_92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2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85"}</definedName>
    <definedName name="_92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2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84"}</definedName>
    <definedName name="_92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2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83"}</definedName>
    <definedName name="_92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2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82"}</definedName>
    <definedName name="_92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2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81"}</definedName>
    <definedName name="_92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2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80"}</definedName>
    <definedName name="_92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2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79"}</definedName>
    <definedName name="_92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2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78"}</definedName>
    <definedName name="_92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2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77"}</definedName>
    <definedName name="_92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159"}</definedName>
    <definedName name="_93__FDSAUDITLINK__" hidden="1">{"fdsup://directions/FAT Viewer?action=UPDATE&amp;creator=factset&amp;DYN_ARGS=TRUE&amp;DOC_NAME=FAT:FQL_AUDITING_CLIENT_TEMPLATE.FAT&amp;display_string=Audit&amp;VAR:KEY=OTUFIDQVQN&amp;VAR:QUERY=RkZfRU5UUlBSX1ZBTF9FQklUREFfT1BFUihBTk4sMjAxMCwsLCxVU0Qp&amp;WINDOW=FIRST_POPUP&amp;HEIGHT=45","0&amp;WIDTH=450&amp;START_MAXIMIZED=FALSE&amp;VAR:CALENDAR=FIVEDAY&amp;VAR:SYMBOL=B59F84&amp;VAR:INDEX=0"}</definedName>
    <definedName name="_93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76"}</definedName>
    <definedName name="_93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3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75"}</definedName>
    <definedName name="_93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3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74"}</definedName>
    <definedName name="_93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3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73"}</definedName>
    <definedName name="_93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3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72"}</definedName>
    <definedName name="_93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3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71"}</definedName>
    <definedName name="_93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3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70"}</definedName>
    <definedName name="_93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3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69"}</definedName>
    <definedName name="_93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3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68"}</definedName>
    <definedName name="_93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3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67"}</definedName>
    <definedName name="_93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158"}</definedName>
    <definedName name="_94__FDSAUDITLINK__" hidden="1">{"fdsup://directions/FAT Viewer?action=UPDATE&amp;creator=factset&amp;DYN_ARGS=TRUE&amp;DOC_NAME=FAT:FQL_AUDITING_CLIENT_TEMPLATE.FAT&amp;display_string=Audit&amp;VAR:KEY=WLQHIFQHWT&amp;VAR:QUERY=RkZfRU5UUlBSX1ZBTF9FQklUREFfT1BFUihBTk4sMjAwOSwsLCxVU0Qp&amp;WINDOW=FIRST_POPUP&amp;HEIGHT=45","0&amp;WIDTH=450&amp;START_MAXIMIZED=FALSE&amp;VAR:CALENDAR=FIVEDAY&amp;VAR:SYMBOL=B59F84&amp;VAR:INDEX=0"}</definedName>
    <definedName name="_94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66"}</definedName>
    <definedName name="_94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4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65"}</definedName>
    <definedName name="_94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4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64"}</definedName>
    <definedName name="_94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4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63"}</definedName>
    <definedName name="_94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4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62"}</definedName>
    <definedName name="_94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4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61"}</definedName>
    <definedName name="_94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4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60"}</definedName>
    <definedName name="_94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4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59"}</definedName>
    <definedName name="_94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4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58"}</definedName>
    <definedName name="_94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4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57"}</definedName>
    <definedName name="_94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157"}</definedName>
    <definedName name="_95__FDSAUDITLINK__" hidden="1">{"fdsup://directions/FAT Viewer?action=UPDATE&amp;creator=factset&amp;DYN_ARGS=TRUE&amp;DOC_NAME=FAT:FQL_AUDITING_CLIENT_TEMPLATE.FAT&amp;display_string=Audit&amp;VAR:KEY=WZMLARADWR&amp;VAR:QUERY=RkZfRU5UUlBSX1ZBTF9FQklUREFfT1BFUihBTk4sMjAxMCwsLCxVU0Qp&amp;WINDOW=FIRST_POPUP&amp;HEIGHT=45","0&amp;WIDTH=450&amp;START_MAXIMIZED=FALSE&amp;VAR:CALENDAR=FIVEDAY&amp;VAR:SYMBOL=B5B8GW&amp;VAR:INDEX=0"}</definedName>
    <definedName name="_95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56"}</definedName>
    <definedName name="_95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5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55"}</definedName>
    <definedName name="_95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5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54"}</definedName>
    <definedName name="_95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5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53"}</definedName>
    <definedName name="_95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5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52"}</definedName>
    <definedName name="_95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5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51"}</definedName>
    <definedName name="_95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5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50"}</definedName>
    <definedName name="_95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5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49"}</definedName>
    <definedName name="_95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5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48"}</definedName>
    <definedName name="_95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5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47"}</definedName>
    <definedName name="_95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156"}</definedName>
    <definedName name="_96__FDSAUDITLINK__" hidden="1">{"fdsup://directions/FAT Viewer?action=UPDATE&amp;creator=factset&amp;DYN_ARGS=TRUE&amp;DOC_NAME=FAT:FQL_AUDITING_CLIENT_TEMPLATE.FAT&amp;display_string=Audit&amp;VAR:KEY=WFOZOVOZMH&amp;VAR:QUERY=RkZfRU5UUlBSX1ZBTF9FQklUREFfT1BFUihBTk4sMjAwOSwsLCxVU0Qp&amp;WINDOW=FIRST_POPUP&amp;HEIGHT=45","0&amp;WIDTH=450&amp;START_MAXIMIZED=FALSE&amp;VAR:CALENDAR=FIVEDAY&amp;VAR:SYMBOL=B5B8GW&amp;VAR:INDEX=0"}</definedName>
    <definedName name="_96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46"}</definedName>
    <definedName name="_96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6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45"}</definedName>
    <definedName name="_96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6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44"}</definedName>
    <definedName name="_96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6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43"}</definedName>
    <definedName name="_96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6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42"}</definedName>
    <definedName name="_96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6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41"}</definedName>
    <definedName name="_96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6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40"}</definedName>
    <definedName name="_96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6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39"}</definedName>
    <definedName name="_96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6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38"}</definedName>
    <definedName name="_96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6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37"}</definedName>
    <definedName name="_96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155"}</definedName>
    <definedName name="_97__FDSAUDITLINK__" hidden="1">{"fdsup://directions/FAT Viewer?action=UPDATE&amp;creator=factset&amp;DYN_ARGS=TRUE&amp;DOC_NAME=FAT:FQL_AUDITING_CLIENT_TEMPLATE.FAT&amp;display_string=Audit&amp;VAR:KEY=EPYZIBYNGZ&amp;VAR:QUERY=RkZfRU5UUlBSX1ZBTF9FQklUREFfT1BFUihBTk4sMjAxMCwsLCxVU0Qp&amp;WINDOW=FIRST_POPUP&amp;HEIGHT=45","0&amp;WIDTH=450&amp;START_MAXIMIZED=FALSE&amp;VAR:CALENDAR=FIVEDAY&amp;VAR:SYMBOL=B1H11J&amp;VAR:INDEX=0"}</definedName>
    <definedName name="_97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36"}</definedName>
    <definedName name="_97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7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35"}</definedName>
    <definedName name="_97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7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34"}</definedName>
    <definedName name="_97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7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33"}</definedName>
    <definedName name="_97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7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32"}</definedName>
    <definedName name="_97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7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31"}</definedName>
    <definedName name="_97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7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30"}</definedName>
    <definedName name="_976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7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29"}</definedName>
    <definedName name="_977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7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28"}</definedName>
    <definedName name="_978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7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27"}</definedName>
    <definedName name="_979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154"}</definedName>
    <definedName name="_98__FDSAUDITLINK__" hidden="1">{"fdsup://directions/FAT Viewer?action=UPDATE&amp;creator=factset&amp;DYN_ARGS=TRUE&amp;DOC_NAME=FAT:FQL_AUDITING_CLIENT_TEMPLATE.FAT&amp;display_string=Audit&amp;VAR:KEY=MJERAHALAR&amp;VAR:QUERY=RkZfRU5UUlBSX1ZBTF9FQklUREFfT1BFUihBTk4sMjAwOSwsLCxVU0Qp&amp;WINDOW=FIRST_POPUP&amp;HEIGHT=45","0&amp;WIDTH=450&amp;START_MAXIMIZED=FALSE&amp;VAR:CALENDAR=FIVEDAY&amp;VAR:SYMBOL=B1H11J&amp;VAR:INDEX=0"}</definedName>
    <definedName name="_98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26"}</definedName>
    <definedName name="_980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8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25"}</definedName>
    <definedName name="_981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8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24"}</definedName>
    <definedName name="_982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8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23"}</definedName>
    <definedName name="_983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8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22"}</definedName>
    <definedName name="_984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8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21"}</definedName>
    <definedName name="_985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8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20"}</definedName>
    <definedName name="_98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8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19"}</definedName>
    <definedName name="_98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8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18"}</definedName>
    <definedName name="_98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8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17"}</definedName>
    <definedName name="_98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153"}</definedName>
    <definedName name="_99__FDSAUDITLINK__" hidden="1">{"fdsup://directions/FAT Viewer?action=UPDATE&amp;creator=factset&amp;DYN_ARGS=TRUE&amp;DOC_NAME=FAT:FQL_AUDITING_CLIENT_TEMPLATE.FAT&amp;display_string=Audit&amp;VAR:KEY=YFWLAXANQP&amp;VAR:QUERY=RkZfRU5UUlBSX1ZBTF9FQklUREFfT1BFUihBTk4sMjAxMCwsLCxVU0Qp&amp;WINDOW=FIRST_POPUP&amp;HEIGHT=45","0&amp;WIDTH=450&amp;START_MAXIMIZED=FALSE&amp;VAR:CALENDAR=FIVEDAY&amp;VAR:SYMBOL=B599D1&amp;VAR:INDEX=0"}</definedName>
    <definedName name="_990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16"}</definedName>
    <definedName name="_990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91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15"}</definedName>
    <definedName name="_991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92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14"}</definedName>
    <definedName name="_992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93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13"}</definedName>
    <definedName name="_993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94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12"}</definedName>
    <definedName name="_994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95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11"}</definedName>
    <definedName name="_995__FDSAUDITLINK__" hidden="1">{"fdsup://IBCentral/FAT Viewer?action=UPDATE&amp;creator=factset&amp;DOC_NAME=fat:reuters_qtrly_source_window.fat&amp;display_string=Audit&amp;DYN_ARGS=TRUE&amp;VAR:ID1=690355&amp;VAR:RCODE=STLD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96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10"}</definedName>
    <definedName name="_996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97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9"}</definedName>
    <definedName name="_997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98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8"}</definedName>
    <definedName name="_998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99__FDSAUDITLINK__" localSheetId="0" hidden="1">{"fdsup://directions/FAT Viewer?action=UPDATE&amp;creator=factset&amp;DYN_ARGS=TRUE&amp;DOC_NAME=FAT:FQL_AUDITING_CLIENT_TEMPLATE.FAT&amp;display_string=Audit&amp;VAR:KEY=CVMRIHEFGZ&amp;VAR:QUERY=UkdGX0VOVFJQUl9WQUxfREFJTFkoMzkwMDYsMzkzNzIsRCwsLCwnQkFTJyk=&amp;WINDOW=FIRST_POPUP&amp;HEIGH","T=450&amp;WIDTH=450&amp;START_MAXIMIZED=FALSE&amp;VAR:CALENDAR=US&amp;VAR:SYMBOL=673988&amp;VAR:INDEX=7"}</definedName>
    <definedName name="_999__FDSAUDITLINK__" hidden="1">{"fdsup://IBCentral/FAT Viewer?action=UPDATE&amp;creator=factset&amp;DOC_NAME=fat:reuters_qtrly_source_window.fat&amp;display_string=Audit&amp;DYN_ARGS=TRUE&amp;VAR:ID1=690355&amp;VAR:RCODE=SCSI&amp;VAR:SDATE=20100699&amp;VAR:FREQ=Quarterly&amp;VAR:RELITEM=NOAUDIT&amp;VAR:CURRENCY=&amp;VAR:CURRSOURCE","=EXSHARE&amp;VAR:NATFREQ=QUARTERLY&amp;VAR:RFIELD=FINALIZED&amp;VAR:DB_TYPE=&amp;VAR:UNITS=M&amp;window=popup&amp;width=450&amp;height=300&amp;START_MAXIMIZED=FALSE"}</definedName>
    <definedName name="_9E1100_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9E1100_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9O1_" localSheetId="0" hidden="1">{#N/A,#N/A,FALSE,"970301";#N/A,#N/A,FALSE,"970302";#N/A,#N/A,FALSE,"970303";#N/A,#N/A,FALSE,"970304";#N/A,#N/A,FALSE,"COM1";#N/A,#N/A,FALSE,"COM2"}</definedName>
    <definedName name="_9O1_" hidden="1">{#N/A,#N/A,FALSE,"970301";#N/A,#N/A,FALSE,"970302";#N/A,#N/A,FALSE,"970303";#N/A,#N/A,FALSE,"970304";#N/A,#N/A,FALSE,"COM1";#N/A,#N/A,FALSE,"COM2"}</definedName>
    <definedName name="_a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_a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_A100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_A100" hidden="1">{#N/A,#N/A,FALSE,"DIR-REP";#N/A,#N/A,FALSE,"AUD-REPORT";#N/A,#N/A,FALSE,"P7L&amp;BS";#N/A,#N/A,FALSE,"NOTES";#N/A,#N/A,FALSE,"FA";#N/A,#N/A,FALSE,"NOTES (2)";#N/A,#N/A,FALSE,"Schedule  IV";#N/A,#N/A,FALSE,"Schedule V"}</definedName>
    <definedName name="_A1001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_A1001" hidden="1">{#N/A,#N/A,FALSE,"DIR-REP";#N/A,#N/A,FALSE,"AUD-REPORT";#N/A,#N/A,FALSE,"P7L&amp;BS";#N/A,#N/A,FALSE,"NOTES";#N/A,#N/A,FALSE,"FA";#N/A,#N/A,FALSE,"NOTES (2)";#N/A,#N/A,FALSE,"Schedule  IV";#N/A,#N/A,FALSE,"Schedule V"}</definedName>
    <definedName name="_A2" hidden="1">#REF!</definedName>
    <definedName name="_a3" localSheetId="0" hidden="1">{#N/A,#N/A,FALSE,"Virgin Flightdeck"}</definedName>
    <definedName name="_a3" hidden="1">{#N/A,#N/A,FALSE,"Virgin Flightdeck"}</definedName>
    <definedName name="_AB" hidden="1">#REF!</definedName>
    <definedName name="_abc123" localSheetId="0" hidden="1">{"JimZhang - Personal View",#N/A,FALSE,"800230"}</definedName>
    <definedName name="_abc123" hidden="1">{"JimZhang - Personal View",#N/A,FALSE,"800230"}</definedName>
    <definedName name="_AC" hidden="1">#REF!</definedName>
    <definedName name="_AD" hidden="1">#REF!</definedName>
    <definedName name="_ad1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AG4" localSheetId="0" hidden="1">{#N/A,#N/A,FALSE,"TAXC.INDEX";#N/A,#N/A,FALSE,"Schedule I";#N/A,#N/A,FALSE,"Schedule  II";#N/A,#N/A,FALSE,"Schedule III"}</definedName>
    <definedName name="_AG4" hidden="1">{#N/A,#N/A,FALSE,"TAXC.INDEX";#N/A,#N/A,FALSE,"Schedule I";#N/A,#N/A,FALSE,"Schedule  II";#N/A,#N/A,FALSE,"Schedule III"}</definedName>
    <definedName name="_age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O_ContentDefinition_223786361" hidden="1">"'Partitions:7'"</definedName>
    <definedName name="_AMO_ContentDefinition_223786361.0" hidden="1">"'&lt;ContentDefinition name=""Import Annual Report Package for Vestas Management STAFS"" rsid=""223786361"" type=""StoredProcess"" format=""REPORTXML"" imgfmt=""ACTIVEX"" created=""01/10/2007 14:31:17"" modifed=""01/10/2007 14:31:17"" user=""Mogens Bakho'"</definedName>
    <definedName name="_AMO_ContentDefinition_223786361.1" hidden="1">"'ldt Andersen"" apply=""False"" thread=""BACKGROUND"" css=""C:\Program Files\SAS\Shared Files\BIClientStyles\AMODefault.css"" range=""Import_Annual_Report_Package_for_Vestas_Management_STAFS"" auto=""False"" rdc=""False"" mig=""False"" xTime=""00:00:1'"</definedName>
    <definedName name="_AMO_ContentDefinition_223786361.2" hidden="1">"'0.6755636"" rTime=""00:00:01.6624236"" bgnew=""False"" nFmt=""False"" grphSet=""False"" imgY=""0"" imgX=""0""&gt;
  &lt;files /&gt;
  &lt;param n=""DisplayName"" v=""Import Annual Report Package for Vestas Management STAFS"" /&gt;
  &lt;param n=""ServerName"" v=""S'"</definedName>
    <definedName name="_AMO_ContentDefinition_223786361.3" hidden="1">"'ASMain"" /&gt;
  &lt;param n=""ResultsOnServer"" v=""False"" /&gt;
  &lt;param n=""AMO_Version"" v=""2.1"" /&gt;
  &lt;param n=""UIParameter_0"" v=""analysis::ACTUAL"" /&gt;
  &lt;param n=""UIParameter_1"" v=""period::200612"" /&gt;
  &lt;param n=""UIParameter_2"" v=""locatio'"</definedName>
    <definedName name="_AMO_ContentDefinition_223786361.4" hidden="1">"'n::\\rifile\group\_Docs\Financial_reporting\Management\Stafs\"" /&gt;
  &lt;param n=""UIParameter_3"" v=""cycle::Vestas"" /&gt;
  &lt;param n=""UIParameter_4"" v=""actiontype::1"" /&gt;
  &lt;param n=""UIParameters"" v=""5"" /&gt;
  &lt;param n=""StoredProcessID"" v=""A'"</definedName>
    <definedName name="_AMO_ContentDefinition_223786361.5" hidden="1">"'5GF11T9.AR001B2J"" /&gt;
  &lt;param n=""StoredProcessPath"" v=""Monthly Data Load/Vestas Management/STAFS/Import Annual Report Package for Vestas Management STAFS"" /&gt;
  &lt;param n=""RepositoryName"" v=""Detail Data Store"" /&gt;
  &lt;param n=""ClassName"" v='"</definedName>
    <definedName name="_AMO_ContentDefinition_223786361.6" hidden="1">"'""SAS.OfficeAddin.StoredProcess"" /&gt;
  &lt;param n=""NoVisuals"" v=""1"" /&gt;
&lt;/ContentDefinition&gt;'"</definedName>
    <definedName name="_AMO_ContentDefinition_30291749" hidden="1">"'Partitions:5'"</definedName>
    <definedName name="_AMO_ContentDefinition_30291749.0" hidden="1">"'&lt;ContentDefinition name=""Update users"" rsid=""30291749"" type=""StoredProcess"" format=""REPORTXML"" imgfmt=""ACTIVEX"" created=""01/23/2007 15:26:32"" modifed=""01/23/2007 15:26:32"" user=""Hans Munk Grøndahl"" apply=""False"" thread=""BACKGROUND'"</definedName>
    <definedName name="_AMO_ContentDefinition_30291749.1" hidden="1">"'"" css=""C:\Program Files\SAS\Shared Files\BIClientStyles\AMODefault.css"" range=""Update_users"" auto=""False"" rdc=""False"" mig=""False"" xTime=""00:00:51.7654674"" rTime=""00:00:01.8527010"" bgnew=""False"" nFmt=""False"" grphSet=""False"" img'"</definedName>
    <definedName name="_AMO_ContentDefinition_30291749.2" hidden="1">"'Y=""0"" imgX=""0""&gt;
  &lt;files /&gt;
  &lt;param n=""DisplayName"" v=""Update users"" /&gt;
  &lt;param n=""ServerName"" v=""SASMain"" /&gt;
  &lt;param n=""ResultsOnServer"" v=""False"" /&gt;
  &lt;param n=""AMO_Version"" v=""2.1"" /&gt;
  &lt;param n=""UIParameters"" v=""0'"</definedName>
    <definedName name="_AMO_ContentDefinition_30291749.3" hidden="1">"'"" /&gt;
  &lt;param n=""StoredProcessID"" v=""A5GF11T9.AR0018R5"" /&gt;
  &lt;param n=""StoredProcessPath"" v=""Administration/User update/Update users"" /&gt;
  &lt;param n=""RepositoryName"" v=""Detail Data Store"" /&gt;
  &lt;param n=""ClassName"" v=""SAS.OfficeAddi'"</definedName>
    <definedName name="_AMO_ContentDefinition_30291749.4" hidden="1">"'n.StoredProcess"" /&gt;
  &lt;param n=""NoVisuals"" v=""1"" /&gt;
&lt;/ContentDefinition&gt;'"</definedName>
    <definedName name="_AMO_ContentDefinition_416475050" hidden="1">"'Partitions:7'"</definedName>
    <definedName name="_AMO_ContentDefinition_416475050.0" hidden="1">"'&lt;ContentDefinition name=""Import Annual Report Package for Vestas Management TECH"" rsid=""416475050"" type=""StoredProcess"" format=""REPORTXML"" imgfmt=""ACTIVEX"" created=""01/09/2007 14:49:31"" modifed=""01/09/2007 14:49:31"" user=""Mogens Bakhol'"</definedName>
    <definedName name="_AMO_ContentDefinition_416475050.1" hidden="1">"'dt Andersen"" apply=""False"" thread=""BACKGROUND"" css=""C:\Program Files\SAS\Shared Files\BIClientStyles\AMODefault.css"" range=""Import_Annual_Report_Package_for_Vestas_Management_TECH"" auto=""False"" rdc=""False"" mig=""False"" xTime=""00:00:33'"</definedName>
    <definedName name="_AMO_ContentDefinition_416475050.2" hidden="1">"'.4794764"" rTime=""00:00:00.9514060"" bgnew=""False"" nFmt=""False"" grphSet=""False"" imgY=""0"" imgX=""0""&gt;
  &lt;files /&gt;
  &lt;param n=""DisplayName"" v=""Import Annual Report Package for Vestas Management TECH"" /&gt;
  &lt;param n=""ServerName"" v=""SAS'"</definedName>
    <definedName name="_AMO_ContentDefinition_416475050.3" hidden="1">"'Main"" /&gt;
  &lt;param n=""ResultsOnServer"" v=""False"" /&gt;
  &lt;param n=""AMO_Version"" v=""2.1"" /&gt;
  &lt;param n=""UIParameter_0"" v=""analysis::ACTUAL"" /&gt;
  &lt;param n=""UIParameter_1"" v=""period::200612"" /&gt;
  &lt;param n=""UIParameter_2"" v=""location:'"</definedName>
    <definedName name="_AMO_ContentDefinition_416475050.4" hidden="1">"':\\rifile\group\_Docs\Financial_reporting\Management\Technology\"" /&gt;
  &lt;param n=""UIParameter_3"" v=""cycle::Vestas"" /&gt;
  &lt;param n=""UIParameter_4"" v=""actiontype::1"" /&gt;
  &lt;param n=""UIParameters"" v=""5"" /&gt;
  &lt;param n=""StoredProcessID"" v='"</definedName>
    <definedName name="_AMO_ContentDefinition_416475050.5" hidden="1">"'""A5GF11T9.AR000YQD"" /&gt;
  &lt;param n=""StoredProcessPath"" v=""Monthly Data Load/Vestas Technology/Import Annual Report Package for Vestas Management TECH"" /&gt;
  &lt;param n=""RepositoryName"" v=""Detail Data Store"" /&gt;
  &lt;param n=""ClassName"" v=""SAS'"</definedName>
    <definedName name="_AMO_ContentDefinition_416475050.6" hidden="1">"'.OfficeAddin.StoredProcess"" /&gt;
  &lt;param n=""NoVisuals"" v=""1"" /&gt;
&lt;/ContentDefinition&gt;'"</definedName>
    <definedName name="_AMO_ContentDefinition_4525320" hidden="1">"'Partitions:5'"</definedName>
    <definedName name="_AMO_ContentDefinition_4525320.0" hidden="1">"'&lt;ContentDefinition name=""Open-Close Period Management - CF"" rsid=""4525320"" type=""StoredProcess"" format=""REPORTXML"" imgfmt=""ACTIVEX"" created=""01/12/2007 10:49:06"" modifed=""01/12/2007 10:49:06"" user=""Mogens Bakholdt Andersen"" apply=""F'"</definedName>
    <definedName name="_AMO_ContentDefinition_4525320.1" hidden="1">"'alse"" thread=""BACKGROUND"" css=""C:\Program Files\SAS\Shared Files\BIClientStyles\AMODefault.css"" range=""Open_Close_Period_Management___CF"" auto=""False"" rdc=""False"" mig=""False"" xTime=""00:01:02.4303930"" rTime=""00:00:00.9613920"" bgnew'"</definedName>
    <definedName name="_AMO_ContentDefinition_4525320.2" hidden="1">"'=""False"" nFmt=""False"" grphSet=""False"" imgY=""0"" imgX=""0""&gt;
  &lt;files /&gt;
  &lt;param n=""DisplayName"" v=""Open-Close Period Management - CF"" /&gt;
  &lt;param n=""ServerName"" v=""SASMain"" /&gt;
  &lt;param n=""ResultsOnServer"" v=""False"" /&gt;
  &lt;pa'"</definedName>
    <definedName name="_AMO_ContentDefinition_4525320.3" hidden="1">"'ram n=""AMO_Version"" v=""2.1"" /&gt;
  &lt;param n=""UIParameters"" v=""0"" /&gt;
  &lt;param n=""StoredProcessID"" v=""A5GF11T9.AR001B35"" /&gt;
  &lt;param n=""StoredProcessPath"" v=""Administration/Time Management/Open-Close Period Management - CF"" /&gt;
  &lt;para'"</definedName>
    <definedName name="_AMO_ContentDefinition_4525320.4" hidden="1">"'m n=""RepositoryName"" v=""Detail Data Store"" /&gt;
  &lt;param n=""ClassName"" v=""SAS.OfficeAddin.StoredProcess"" /&gt;
  &lt;param n=""NoVisuals"" v=""1"" /&gt;
&lt;/ContentDefinition&gt;'"</definedName>
    <definedName name="_AMO_ContentDefinition_52677921" hidden="1">"'Partitions:7'"</definedName>
    <definedName name="_AMO_ContentDefinition_52677921.0" hidden="1">"'&lt;ContentDefinition name=""CF Import (weekly) for Vestas Asia Pacific"" rsid=""52677921"" type=""StoredProcess"" format=""REPORTXML"" imgfmt=""ACTIVEX"" created=""01/02/2007 15:34:37"" modifed=""01/02/2007 15:34:37"" user=""Mogens Bakholdt Andersen""'"</definedName>
    <definedName name="_AMO_ContentDefinition_52677921.1" hidden="1">"' apply=""False"" thread=""BACKGROUND"" css=""C:\Program Files\SAS\Shared Files\BIClientStyles\AMODefault.css"" range=""CF_Import__weekly__for_Vestas_Asia_Pacific"" auto=""False"" rdc=""False"" mig=""False"" xTime=""00:00:18.8873470"" rTime=""00:00:0'"</definedName>
    <definedName name="_AMO_ContentDefinition_52677921.2" hidden="1">"'0.6910005"" bgnew=""False"" nFmt=""False"" grphSet=""False"" imgY=""0"" imgX=""0""&gt;
  &lt;files /&gt;
  &lt;param n=""DisplayName"" v=""CF Import (weekly) for Vestas Asia Pacific"" /&gt;
  &lt;param n=""ServerName"" v=""SASMain"" /&gt;
  &lt;param n=""ResultsOnServ'"</definedName>
    <definedName name="_AMO_ContentDefinition_52677921.3" hidden="1">"'er"" v=""False"" /&gt;
  &lt;param n=""AMO_Version"" v=""2.1"" /&gt;
  &lt;param n=""UIParameter_0"" v=""analysis::CFR"" /&gt;
  &lt;param n=""UIParameter_1"" v=""period::w52-2006"" /&gt;
  &lt;param n=""UIParameter_2"" v=""location::\\rifile\group\_Docs\Financial_report'"</definedName>
    <definedName name="_AMO_ContentDefinition_52677921.4" hidden="1">"'ing\Asia Pacific\Local Finance\"" /&gt;
  &lt;param n=""UIParameter_3"" v=""cycle::Vestas_CF"" /&gt;
  &lt;param n=""UIParameter_4"" v=""actiontype::1"" /&gt;
  &lt;param n=""UIParameters"" v=""5"" /&gt;
  &lt;param n=""StoredProcessID"" v=""A5GF11T9.AR0012L8"" /&gt;
  &lt;p'"</definedName>
    <definedName name="_AMO_ContentDefinition_52677921.5" hidden="1">"'aram n=""StoredProcessPath"" v=""Cash Flow Reporting/Vestas BU CF Asia_Pacific/CF Import (weekly) for Vestas Asia Pacific"" /&gt;
  &lt;param n=""RepositoryName"" v=""Detail Data Store"" /&gt;
  &lt;param n=""ClassName"" v=""SAS.OfficeAddin.StoredProcess"" /&gt;
'"</definedName>
    <definedName name="_AMO_ContentDefinition_52677921.6" hidden="1">"'
  &lt;param n=""NoVisuals"" v=""1"" /&gt;
&lt;/ContentDefinition&gt;'"</definedName>
    <definedName name="_AMO_ContentDefinition_796285770" hidden="1">"'Partitions:7'"</definedName>
    <definedName name="_AMO_ContentDefinition_796285770.0" hidden="1">"'&lt;ContentDefinition name=""Import Annual Report Package for Vestas Management STAFS"" rsid=""796285770"" type=""StoredProcess"" format=""REPORTXML"" imgfmt=""ACTIVEX"" created=""01/10/2007 15:16:04"" modifed=""01/10/2007 15:16:04"" user=""Mogens Bakho'"</definedName>
    <definedName name="_AMO_ContentDefinition_796285770.1" hidden="1">"'ldt Andersen"" apply=""False"" thread=""BACKGROUND"" css=""C:\Program Files\SAS\Shared Files\BIClientStyles\AMODefault.css"" range=""Import_Annual_Report_Package_for_Vestas_Management_STAFS_2"" auto=""False"" rdc=""False"" mig=""False"" xTime=""00:00'"</definedName>
    <definedName name="_AMO_ContentDefinition_796285770.2" hidden="1">"':44.9855832"" rTime=""00:00:01.4421024"" bgnew=""False"" nFmt=""False"" grphSet=""False"" imgY=""0"" imgX=""0""&gt;
  &lt;files /&gt;
  &lt;param n=""DisplayName"" v=""Import Annual Report Package for Vestas Management STAFS"" /&gt;
  &lt;param n=""ServerName"" v='"</definedName>
    <definedName name="_AMO_ContentDefinition_796285770.3" hidden="1">"'""SASMain"" /&gt;
  &lt;param n=""ResultsOnServer"" v=""False"" /&gt;
  &lt;param n=""AMO_Version"" v=""2.1"" /&gt;
  &lt;param n=""UIParameter_0"" v=""analysis::ACTUAL"" /&gt;
  &lt;param n=""UIParameter_1"" v=""period::200612"" /&gt;
  &lt;param n=""UIParameter_2"" v=""loca'"</definedName>
    <definedName name="_AMO_ContentDefinition_796285770.4" hidden="1">"'tion::\\rifile\group\_Docs\Financial_reporting\Management\Stafs\"" /&gt;
  &lt;param n=""UIParameter_3"" v=""cycle::Vestas"" /&gt;
  &lt;param n=""UIParameter_4"" v=""actiontype::1"" /&gt;
  &lt;param n=""UIParameters"" v=""5"" /&gt;
  &lt;param n=""StoredProcessID"" v='"</definedName>
    <definedName name="_AMO_ContentDefinition_796285770.5" hidden="1">"'""A5GF11T9.AR001B2J"" /&gt;
  &lt;param n=""StoredProcessPath"" v=""Monthly Data Load/Vestas Management/STAFS/Import Annual Report Package for Vestas Management STAFS"" /&gt;
  &lt;param n=""RepositoryName"" v=""Detail Data Store"" /&gt;
  &lt;param n=""ClassName""'"</definedName>
    <definedName name="_AMO_ContentDefinition_796285770.6" hidden="1">"' v=""SAS.OfficeAddin.StoredProcess"" /&gt;
  &lt;param n=""NoVisuals"" v=""1"" /&gt;
&lt;/ContentDefinition&gt;'"</definedName>
    <definedName name="_AMO_ContentDefinition_881335414" hidden="1">"'Partitions:7'"</definedName>
    <definedName name="_AMO_ContentDefinition_881335414.0" hidden="1">"'&lt;ContentDefinition name=""Import Monthly Mapics Data for FD65"" rsid=""881335414"" type=""StoredProcess"" format=""REPORTXML"" imgfmt=""ACTIVEX"" created=""02/14/2007 14:03:57"" modifed=""02/14/2007 14:03:57"" user=""Hans Munk Grøndahl"" apply=""Fal'"</definedName>
    <definedName name="_AMO_ContentDefinition_881335414.1" hidden="1">"'se"" thread=""BACKGROUND"" css=""C:\Program Files\SAS\Shared Files\BIClientStyles\AMODefault.css"" range=""Import_Monthly_Mapics_Data_for_FD65"" auto=""False"" rdc=""False"" mig=""False"" xTime=""00:00:43.1942637"" rTime=""00:00:01.2418476"" bgnew'"</definedName>
    <definedName name="_AMO_ContentDefinition_881335414.2" hidden="1">"'=""False"" nFmt=""False"" grphSet=""False"" imgY=""0"" imgX=""0""&gt;
  &lt;files /&gt;
  &lt;param n=""DisplayName"" v=""Import Monthly Mapics Data for FD65"" /&gt;
  &lt;param n=""ServerName"" v=""SASMain"" /&gt;
  &lt;param n=""ResultsOnServer"" v=""False"" /&gt;
  &lt;'"</definedName>
    <definedName name="_AMO_ContentDefinition_881335414.3" hidden="1">"'param n=""AMO_Version"" v=""2.1"" /&gt;
  &lt;param n=""UIParameter_0"" v=""analysis::ACTUAL"" /&gt;
  &lt;param n=""UIParameter_1"" v=""period::200701"" /&gt;
  &lt;param n=""UIParameter_2"" v=""cycle::Vestas"" /&gt;
  &lt;param n=""UIParameter_3"" v=""acttype::1"" /&gt;
'"</definedName>
    <definedName name="_AMO_ContentDefinition_881335414.4" hidden="1">"'
  &lt;param n=""UIParameter_4"" v=""fd::65"" /&gt;
  &lt;param n=""UIParameter_5"" v=""country::DK"" /&gt;
  &lt;param n=""UIParameter_6"" v=""currency::DKK"" /&gt;
  &lt;param n=""UIParameter_7"" v=""schema::AMFLIBL"" /&gt;
  &lt;param n=""UIParameters"" v=""8"" /&gt;
  &lt;p'"</definedName>
    <definedName name="_AMO_ContentDefinition_881335414.5" hidden="1">"'aram n=""StoredProcessID"" v=""A5GF11T9.AR000CCQ"" /&gt;
  &lt;param n=""StoredProcessPath"" v=""Monthly Data Load/Vestas BU Blades/Import Monthly Mapics Data for FD65"" /&gt;
  &lt;param n=""RepositoryName"" v=""Detail Data Store"" /&gt;
  &lt;param n=""ClassName'"</definedName>
    <definedName name="_AMO_ContentDefinition_881335414.6" hidden="1">"'"" v=""SAS.OfficeAddin.StoredProcess"" /&gt;
  &lt;param n=""NoVisuals"" v=""1"" /&gt;
&lt;/ContentDefinition&gt;'"</definedName>
    <definedName name="_AMO_ContentDefinition_929192700" hidden="1">"'Partitions:7'"</definedName>
    <definedName name="_AMO_ContentDefinition_929192700.0" hidden="1">"'&lt;ContentDefinition name=""CF Import (weekly) for Vestas Asia Pacific"" rsid=""929192700"" type=""StoredProcess"" format=""REPORTXML"" imgfmt=""ACTIVEX"" created=""01/08/2007 14:25:38"" modifed=""01/08/2007 14:25:38"" user=""Mogens Bakholdt Andersen'"</definedName>
    <definedName name="_AMO_ContentDefinition_929192700.1" hidden="1">"'"" apply=""False"" thread=""BACKGROUND"" css=""C:\Program Files\SAS\Shared Files\BIClientStyles\AMODefault.css"" range=""CF_Import__weekly__for_Vestas_Asia_Pacific_2"" auto=""False"" rdc=""False"" mig=""False"" xTime=""00:13:53.4831947"" rTime=""00:0'"</definedName>
    <definedName name="_AMO_ContentDefinition_929192700.2" hidden="1">"'0:00.2603822"" bgnew=""False"" nFmt=""False"" grphSet=""False"" imgY=""0"" imgX=""0""&gt;
  &lt;files /&gt;
  &lt;param n=""DisplayName"" v=""CF Import (weekly) for Vestas Asia Pacific"" /&gt;
  &lt;param n=""ServerName"" v=""SASMain"" /&gt;
  &lt;param n=""ResultsOnS'"</definedName>
    <definedName name="_AMO_ContentDefinition_929192700.3" hidden="1">"'erver"" v=""False"" /&gt;
  &lt;param n=""AMO_Version"" v=""2.1"" /&gt;
  &lt;param n=""UIParameter_0"" v=""analysis::CFR"" /&gt;
  &lt;param n=""UIParameter_1"" v=""period::w01-2007"" /&gt;
  &lt;param n=""UIParameter_2"" v=""location::\\rifile\group\_Docs\Financial_rep'"</definedName>
    <definedName name="_AMO_ContentDefinition_929192700.4" hidden="1">"'orting\Asia Pacific\Local Finance\"" /&gt;
  &lt;param n=""UIParameter_3"" v=""cycle::Vestas_CF"" /&gt;
  &lt;param n=""UIParameter_4"" v=""actiontype::1"" /&gt;
  &lt;param n=""UIParameters"" v=""5"" /&gt;
  &lt;param n=""StoredProcessID"" v=""A5GF11T9.AR0012L8"" /&gt;
 '"</definedName>
    <definedName name="_AMO_ContentDefinition_929192700.5" hidden="1">"' &lt;param n=""StoredProcessPath"" v=""Cash Flow Reporting/Vestas BU CF Asia_Pacific/CF Import (weekly) for Vestas Asia Pacific"" /&gt;
  &lt;param n=""RepositoryName"" v=""Detail Data Store"" /&gt;
  &lt;param n=""ClassName"" v=""SAS.OfficeAddin.StoredProcess"" /'"</definedName>
    <definedName name="_AMO_ContentDefinition_929192700.6" hidden="1">"'&gt;
  &lt;param n=""NoVisuals"" v=""1"" /&gt;
&lt;/ContentDefinition&gt;'"</definedName>
    <definedName name="_AMO_ContentDefinition_953498695" hidden="1">"'Partitions:5'"</definedName>
    <definedName name="_AMO_ContentDefinition_953498695.0" hidden="1">"'&lt;ContentDefinition name=""Opdate Formats and Tables"" rsid=""953498695"" type=""StoredProcess"" format=""REPORTXML"" imgfmt=""ACTIVEX"" created=""02/07/2007 14:32:07"" modifed=""02/07/2007 14:32:07"" user=""Hans Munk Grøndahl"" apply=""False"" thre'"</definedName>
    <definedName name="_AMO_ContentDefinition_953498695.1" hidden="1">"'ad=""BACKGROUND"" css=""C:\Program Files\SAS\Shared Files\BIClientStyles\AMODefault.css"" range=""Opdate_Formats_and_Tables"" auto=""False"" rdc=""False"" mig=""False"" xTime=""00:00:30.0160000"" rTime=""00:00:00.4840000"" bgnew=""False"" nFmt=""Fa'"</definedName>
    <definedName name="_AMO_ContentDefinition_953498695.2" hidden="1">"'lse"" grphSet=""False"" imgY=""0"" imgX=""0""&gt;
  &lt;files /&gt;
  &lt;param n=""DisplayName"" v=""Opdate Formats and Tables"" /&gt;
  &lt;param n=""ServerName"" v=""SASMain"" /&gt;
  &lt;param n=""ResultsOnServer"" v=""False"" /&gt;
  &lt;param n=""AMO_Version"" v=""2.1'"</definedName>
    <definedName name="_AMO_ContentDefinition_953498695.3" hidden="1">"'"" /&gt;
  &lt;param n=""UIParameters"" v=""0"" /&gt;
  &lt;param n=""StoredProcessID"" v=""A5GF11T9.AR0012KX"" /&gt;
  &lt;param n=""StoredProcessPath"" v=""Administration/Opdate Formats and Tables"" /&gt;
  &lt;param n=""RepositoryName"" v=""Detail Data Store"" /&gt;
  '"</definedName>
    <definedName name="_AMO_ContentDefinition_953498695.4" hidden="1">"'&lt;param n=""ClassName"" v=""SAS.OfficeAddin.StoredProcess"" /&gt;
  &lt;param n=""NoVisuals"" v=""1"" /&gt;
&lt;/ContentDefinition&gt;'"</definedName>
    <definedName name="_AMO_XmlVersion" hidden="1">"'1'"</definedName>
    <definedName name="_as" localSheetId="0" hidden="1">{"ssssss",#N/A,FALSE,"太原"}</definedName>
    <definedName name="_as" hidden="1">{"ssssss",#N/A,FALSE,"太原"}</definedName>
    <definedName name="_asd2" localSheetId="0" hidden="1">{"bs",#N/A,FALSE,"SCF"}</definedName>
    <definedName name="_asd2" hidden="1">{"bs",#N/A,FALSE,"SCF"}</definedName>
    <definedName name="_ATPCorr_Dlg_Results" localSheetId="0" hidden="1">{2;#N/A;"R8C4:R8C18";#N/A;"R6C4:R6C18";#N/A;1;#N/A;#N/A;FALSE;#N/A;#N/A;#N/A}</definedName>
    <definedName name="_ATPCorr_Dlg_Results" hidden="1">{2;#N/A;"R8C4:R8C18";#N/A;"R6C4:R6C18";#N/A;1;#N/A;#N/A;FALSE;#N/A;#N/A;#N/A}</definedName>
    <definedName name="_ATPCorr_Range1" hidden="1">#REF!</definedName>
    <definedName name="_ATPCorr_Range2" hidden="1">#REF!</definedName>
    <definedName name="_ATPHist_Dlg_Results" localSheetId="0" hidden="1">{2;#N/A;"R10C2";#N/A;"";#N/A;"";TRUE;TRUE;TRUE;#N/A;#N/A;#N/A}</definedName>
    <definedName name="_ATPHist_Dlg_Results" hidden="1">{2;#N/A;"R10C2";#N/A;"";#N/A;"";TRUE;TRUE;TRUE;#N/A;#N/A;#N/A}</definedName>
    <definedName name="_ATPHist_Range1" hidden="1">#REF!</definedName>
    <definedName name="_ATPRegress_Dlg_Results" localSheetId="0" hidden="1">{2;#N/A;"R13C16:R17C16";#N/A;"R13C14:R17C15";FALSE;FALSE;FALSE;95;#N/A;#N/A;"R13C19";#N/A;FALSE;FALSE;FALSE;FALSE;#N/A;"";#N/A;FALSE;"";"";#N/A;#N/A;#N/A}</definedName>
    <definedName name="_ATPRegress_Dlg_Results" hidden="1">{2;#N/A;"R13C16:R17C16";#N/A;"R13C14:R17C15";FALSE;FALSE;FALSE;95;#N/A;#N/A;"R13C19";#N/A;FALSE;FALSE;FALSE;FALSE;#N/A;"";#N/A;FALSE;"";"";#N/A;#N/A;#N/A}</definedName>
    <definedName name="_ATPRegress_Dlg_Types" localSheetId="0" hidden="1">{"EXCELHLP.HLP!1802";5;10;5;10;13;13;13;8;5;5;10;14;13;13;13;13;5;10;14;13;5;10;1;2;24}</definedName>
    <definedName name="_ATPRegress_Dlg_Types" hidden="1">{"EXCELHLP.HLP!1802";5;10;5;10;13;13;13;8;5;5;10;14;13;13;13;13;5;10;14;13;5;10;1;2;24}</definedName>
    <definedName name="_ATPRegress_Range1" hidden="1">#REF!</definedName>
    <definedName name="_ATPRegress_Range2" hidden="1">#REF!</definedName>
    <definedName name="_ATPRegress_Range3" hidden="1">#REF!</definedName>
    <definedName name="_ATPRegress_Range4" hidden="1">"="</definedName>
    <definedName name="_ATPRegress_Range5" hidden="1">"="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13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2" localSheetId="0" hidden="1">{"PVGraph2",#N/A,FALSE,"PV Data"}</definedName>
    <definedName name="_b2" hidden="1">{#N/A,#N/A,FALSE,"Virgin Flightdeck"}</definedName>
    <definedName name="_B201" localSheetId="0" hidden="1">{#N/A,#N/A,FALSE,"Ocean";#N/A,#N/A,FALSE,"NewYork";#N/A,#N/A,FALSE,"Gateway";#N/A,#N/A,FALSE,"GVH";#N/A,#N/A,FALSE,"GVM";#N/A,#N/A,FALSE,"GVT"}</definedName>
    <definedName name="_B201" hidden="1">{#N/A,#N/A,FALSE,"Ocean";#N/A,#N/A,FALSE,"NewYork";#N/A,#N/A,FALSE,"Gateway";#N/A,#N/A,FALSE,"GVH";#N/A,#N/A,FALSE,"GVM";#N/A,#N/A,FALSE,"GVT"}</definedName>
    <definedName name="_b3" localSheetId="0" hidden="1">{#N/A,#N/A,FALSE,"Virgin Flightdeck"}</definedName>
    <definedName name="_b3" hidden="1">{#N/A,#N/A,FALSE,"Virgin Flightdeck"}</definedName>
    <definedName name="_BA4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A4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al2" hidden="1">#REF!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dm.0004180DC2C64E0D95475C58101A41CE.edm" hidden="1">#REF!</definedName>
    <definedName name="_bdm.007C1D224CD4405180C7F52512E0677E.edm" hidden="1">#REF!</definedName>
    <definedName name="_bdm.0087B6A7B33A41A5A2C39FBB1A7E350F.edm" hidden="1">#REF!</definedName>
    <definedName name="_bdm.00AC6E7E4A094EF8A3992F10D905A718.edm" hidden="1">#REF!</definedName>
    <definedName name="_bdm.014FDDBE60A741A0AE0F084F2B1EB973.edm" hidden="1">#REF!</definedName>
    <definedName name="_bdm.01B5056096D54FF5A4E75EC6979C87E2.edm" hidden="1">#REF!</definedName>
    <definedName name="_bdm.02198D33F3A349609E0AA5CF90359AFB.edm" hidden="1">#REF!</definedName>
    <definedName name="_bdm.023C6F896C3C4C8186BA730CEF76B38B.edm" hidden="1">#REF!</definedName>
    <definedName name="_bdm.0348E5C8775540299868CFD2A545B503.edm" hidden="1">#REF!</definedName>
    <definedName name="_bdm.04158DBE1D58411183E9B517151430D4.edm" hidden="1">#REF!</definedName>
    <definedName name="_bdm.045107EDE0A742ABA637D7674CE9F337.edm" hidden="1">#REF!</definedName>
    <definedName name="_bdm.04C6D99BBFB5462A8816A3D47C1D7AB5.edm" hidden="1">#REF!</definedName>
    <definedName name="_bdm.04E336EBC3C344EB89DEFF28F82B1451.edm" hidden="1">#REF!</definedName>
    <definedName name="_bdm.0509802BC4904463BD9FC7D1014C0CB8.edm" hidden="1">#REF!</definedName>
    <definedName name="_bdm.0579E22BCD6C4913BC8664584ADE55AE.edm" hidden="1">#REF!</definedName>
    <definedName name="_bdm.0652B2FA48DF4E2B8B56B5AB406B0454.edm" hidden="1">#REF!</definedName>
    <definedName name="_bdm.06D12D44523E4BD7A34C103ABC138FE6.edm" hidden="1">#REF!</definedName>
    <definedName name="_bdm.06DAD5F6677448B69595AAB88E106B04.edm" hidden="1">#REF!</definedName>
    <definedName name="_bdm.06DB5216B9E94BDB813B8FB00C5F3C5A.edm" hidden="1">#REF!</definedName>
    <definedName name="_bdm.078B587711514DD29C40A0E0E3246884.edm" hidden="1">#REF!</definedName>
    <definedName name="_bdm.07AC53FEE803406C9531892C0564F0F9.edm" hidden="1">#REF!</definedName>
    <definedName name="_bdm.08809FBE138B47CCAD15FC5454D067CE.edm" hidden="1">#REF!</definedName>
    <definedName name="_bdm.08ED4FA6B75744A299D0109409ABDDB2.edm" hidden="1">#REF!</definedName>
    <definedName name="_bdm.08F0634AC753432F825D156F113BF122.edm" hidden="1">#REF!</definedName>
    <definedName name="_bdm.090C1322A53D4D659F6A118AA25D33F5.edm" hidden="1">#REF!</definedName>
    <definedName name="_bdm.098850A979754390B7AA8EEFEA589E0B.edm" hidden="1">#REF!</definedName>
    <definedName name="_bdm.09886A96B5724B4CA1EBD75535B559E1.edm" hidden="1">#REF!</definedName>
    <definedName name="_bdm.0999B165F9364E3BACA81FCE8B275454.edm" hidden="1">#REF!</definedName>
    <definedName name="_bdm.09E864A25F7E4EA6A1FECEA2AC83E2BC.edm" hidden="1">#REF!</definedName>
    <definedName name="_bdm.0A47F79E57E5496BA1BD3EC867B49B7D.edm" hidden="1">#REF!</definedName>
    <definedName name="_bdm.0B006983832D4A4BB0CAA77AAD8BD7F5.edm" hidden="1">#REF!</definedName>
    <definedName name="_bdm.0B16DDC8F11446EF80BD96B0B2830468.edm" hidden="1">#REF!</definedName>
    <definedName name="_bdm.0B4E7C16708143ABB997E9DB54FE61B7.edm" hidden="1">#REF!</definedName>
    <definedName name="_bdm.0c745d25ff654e26b0236325a4275119.edm" hidden="1">#REF!</definedName>
    <definedName name="_bdm.0CCA6C54C7AD4AE7BFB3419B24278749.edm" hidden="1">#REF!</definedName>
    <definedName name="_bdm.0CED5F337A76485181B3C670A5F19C19.edm" hidden="1">#REF!</definedName>
    <definedName name="_bdm.0D712A14359C4A95AA0003845A518E56.edm" hidden="1">#REF!</definedName>
    <definedName name="_bdm.0D99BDD70F0841579503908C237DCDFF.edm" hidden="1">#REF!</definedName>
    <definedName name="_bdm.0DB582D9EBC24E4BAED751F25FB371AA.edm" hidden="1">#REF!</definedName>
    <definedName name="_bdm.0E87031A59F24634B5DF3E339424E512.edm" hidden="1">#REF!</definedName>
    <definedName name="_bdm.0F2D4F2161D545EA90A4972FB5A47AE4.edm" hidden="1">#REF!</definedName>
    <definedName name="_bdm.0F57DD23FFE444F9946224AA0FE6C887.edm" hidden="1">#REF!</definedName>
    <definedName name="_bdm.0F6E0E9F304A411CB41E827CE743B5F3.edm" hidden="1">#REF!</definedName>
    <definedName name="_bdm.0F84F58CA4084499993D1A933B09970B.edm" hidden="1">#REF!</definedName>
    <definedName name="_bdm.0FF5104A32184B018DD38B448E775335.edm" hidden="1">#REF!</definedName>
    <definedName name="_bdm.104FB86A051046BE8F1AE59E3ADC7332.edm" hidden="1">#REF!</definedName>
    <definedName name="_bdm.106D33FE94BA40F1A43E3DC4CB0B0255.edm" hidden="1">#REF!</definedName>
    <definedName name="_bdm.1082797D142B40F69F1CEE799732C556.edm" hidden="1">#REF!</definedName>
    <definedName name="_bdm.10854289810F4908A25A7AEECCB6F162.edm" hidden="1">#REF!</definedName>
    <definedName name="_bdm.10EE248B6C1C4AF3B497BF73778A146B.edm" hidden="1">#REF!</definedName>
    <definedName name="_bdm.1125E7F408334F6894D3D4BA5C7F4029.edm" hidden="1">#REF!</definedName>
    <definedName name="_bdm.119175808612475095360B7609A25EB4.edm" hidden="1">#REF!</definedName>
    <definedName name="_bdm.11964115B08D41A389E489A0AB814BD8.edm" hidden="1">#REF!</definedName>
    <definedName name="_bdm.125CE5000C094345A0624BC646AB97FB.edm" hidden="1">#REF!</definedName>
    <definedName name="_bdm.12C56E474FBC44F481631007669FBEBB.edm" hidden="1">#REF!</definedName>
    <definedName name="_bdm.12D1DFE08C6849E18920F669DF41A07C.edm" hidden="1">#REF!</definedName>
    <definedName name="_bdm.12FE3EDB710843D19AFC6CAE24AC2F2A.edm" hidden="1">#REF!</definedName>
    <definedName name="_bdm.1342FBAC436D49058A60BB38DB85549F.edm" hidden="1">#REF!</definedName>
    <definedName name="_bdm.1380953C04F84F51AE142F42A1D926B6.edm" hidden="1">#REF!</definedName>
    <definedName name="_bdm.1385ac13793b4a2ea9481bf148c82d4a.edm" hidden="1">#REF!</definedName>
    <definedName name="_bdm.13DDB2E78C0247C88D1DFFC76BEBBDF0.edm" hidden="1">#REF!</definedName>
    <definedName name="_bdm.14672c3dc96c4774aaf2fdb7eb51c523.edm" hidden="1">#REF!</definedName>
    <definedName name="_bdm.14D650A9568545CDA455DBB05600EB1A.edm" hidden="1">#REF!</definedName>
    <definedName name="_bdm.14FE4641874C4F7E99B67E50923FF628.edm" hidden="1">#REF!</definedName>
    <definedName name="_bdm.1518BC69C61B4863812166EA4907D859.edm" hidden="1">#REF!</definedName>
    <definedName name="_bdm.154DFD02F2F24095966D3B3A4602A093.edm" hidden="1">#REF!</definedName>
    <definedName name="_bdm.155ED7BE753E445D859558F949490888.edm" hidden="1">#REF!</definedName>
    <definedName name="_bdm.163B76C3758B4E4B8C86E3E09B9718E7.edm" hidden="1">#REF!</definedName>
    <definedName name="_bdm.163E2FDCECFE4D2B9834E952F20E3FF8.edm" hidden="1">#REF!</definedName>
    <definedName name="_bdm.165C12FE986E4CC6B7F27A6F259F2FD6.edm" hidden="1">#REF!</definedName>
    <definedName name="_bdm.17098ED9C95B4C0E87C052D54D4497F9.edm" hidden="1">#REF!</definedName>
    <definedName name="_bdm.1725CF220F8544B3A93A6A34452DE3B4.edm" hidden="1">#REF!</definedName>
    <definedName name="_bdm.17918149FB29450E98A93FB43CFB87E7.edm" hidden="1">#REF!</definedName>
    <definedName name="_bdm.17938B7ECDC941549EE673BDA5EA2C88.edm" hidden="1">#REF!</definedName>
    <definedName name="_bdm.17F361D5D23747BA948495BA7E88A00D.edm" hidden="1">#REF!</definedName>
    <definedName name="_bdm.17F866F4A5424D21907A0346A2C2702B.edm" hidden="1">#REF!</definedName>
    <definedName name="_bdm.180B2CBE3AE247628AEB3D8114A07A21.edm" hidden="1">#REF!</definedName>
    <definedName name="_bdm.182A092D6D1C466DA73C10E7A82062CE.edm" hidden="1">#REF!</definedName>
    <definedName name="_bdm.1843A4C3559E43EF8F9135CB54A394F2.edm" hidden="1">#REF!</definedName>
    <definedName name="_bdm.1948BC4EA5434AD2A6479FE9432F061D.edm" hidden="1">#REF!</definedName>
    <definedName name="_bdm.199D44FFB1F54996842617E5793F59ED.edm" hidden="1">#REF!</definedName>
    <definedName name="_bdm.19C3EF8330A04BE7920376514D278646.edm" hidden="1">#REF!</definedName>
    <definedName name="_bdm.1A9DAEE8FC174312986F4582C72DF1DD.edm" hidden="1">#REF!</definedName>
    <definedName name="_bdm.1B8BABE2557F445DB85129F633188E55.edm" hidden="1">#REF!</definedName>
    <definedName name="_bdm.1C316FBB55D04400B0E0F10C4B278348.edm" hidden="1">#REF!</definedName>
    <definedName name="_bdm.1C991F69BA494422AFB12CBF32E7A016.edm" hidden="1">#REF!</definedName>
    <definedName name="_bdm.1CBD666BBB244AE2B503670978EC440B.edm" hidden="1">#REF!</definedName>
    <definedName name="_bdm.1D6EF08EA1B9481CBD26D8122B8479A0.edm" hidden="1">#REF!</definedName>
    <definedName name="_bdm.1db3a4801d0c4da5967d499d9604979b.edm" hidden="1">#REF!</definedName>
    <definedName name="_bdm.1DB9EA5728D249C0A6ADB9AC12D10F18.edm" hidden="1">#REF!</definedName>
    <definedName name="_bdm.1E4B9882EBAA47D79DD0499A47BF2FAC.edm" hidden="1">#REF!</definedName>
    <definedName name="_bdm.1E978051F71841AB88DBFD5F9C9014EA.edm" hidden="1">#REF!</definedName>
    <definedName name="_bdm.1ECF35C0CFD14F159913E122696416AB.edm" hidden="1">#REF!</definedName>
    <definedName name="_bdm.1F130054B0B849EDB7332253C53AA1F5.edm" hidden="1">#REF!</definedName>
    <definedName name="_bdm.1FD4499AC9D54CE78C54643664F39825.edm" hidden="1">#REF!</definedName>
    <definedName name="_bdm.200BA8FCF3E44616B8195230FD9EA68C.edm" hidden="1">#REF!</definedName>
    <definedName name="_bdm.201243D001344D18B490F478F4DFD232.edm" hidden="1">#REF!</definedName>
    <definedName name="_bdm.20318CF905374182AE2159607959666D.edm" hidden="1">#REF!</definedName>
    <definedName name="_bdm.2085937B4D4B4D02B4371A20863A93A7.edm" hidden="1">#REF!</definedName>
    <definedName name="_bdm.210523B1BF524845BF61385352B65FA5.edm" hidden="1">#REF!</definedName>
    <definedName name="_bdm.211961A7CA444C2A8E5C65F4932BCDC8.edm" hidden="1">#REF!</definedName>
    <definedName name="_bdm.214F2EF6C5C045DA91441430114DE4DE.edm" hidden="1">#REF!</definedName>
    <definedName name="_bdm.2157997AF4EA49BEA4469C8F8A27DB92.edm" hidden="1">#REF!</definedName>
    <definedName name="_bdm.217AA813249D48AF92C8A8EE718400AE.edm" hidden="1">#REF!</definedName>
    <definedName name="_bdm.218FC2502F2042DBAA48A34C2C2E472A.edm" hidden="1">#REF!</definedName>
    <definedName name="_bdm.223FA0F578B54D3985D5F1916242D99E.edm" hidden="1">#REF!</definedName>
    <definedName name="_bdm.22443E9AF01D4810932B2269632D3B80.edm" hidden="1">#REF!</definedName>
    <definedName name="_bdm.22C420290F684B23B069801310CFA1B4.edm" hidden="1">#REF!</definedName>
    <definedName name="_bdm.22F8688D6FCA481B82CA2039A5430694.edm" hidden="1">#REF!</definedName>
    <definedName name="_bdm.232CF17E728046D0980AB3855D0034E2.edm" hidden="1">#REF!</definedName>
    <definedName name="_bdm.23E09A8AFB9A4889848E2B2D79BFD660.edm" hidden="1">#REF!</definedName>
    <definedName name="_bdm.243683C5B1934B80B13188D70B3990DC.edm" hidden="1">#REF!</definedName>
    <definedName name="_bdm.24B76B6C8F1243B9B121526A1A531800.edm" hidden="1">#REF!</definedName>
    <definedName name="_bdm.24D9F792E80E41C789DF5C0EBDD21283.edm" hidden="1">#REF!</definedName>
    <definedName name="_bdm.251069AF202042EEB54A94703DF759BA.edm" hidden="1">#REF!</definedName>
    <definedName name="_bdm.2532D0433F134474A426E9A5EF7BA93A.edm" hidden="1">#REF!</definedName>
    <definedName name="_bdm.25816F2AAFFE4BCBA810BF247AE5E23D.edm" hidden="1">#REF!</definedName>
    <definedName name="_bdm.25B1ECE57C9947209199BF7D79B7C176.edm" hidden="1">#REF!</definedName>
    <definedName name="_bdm.25CBC34669A8465FAC7086EC9BB60B33.edm" hidden="1">#REF!</definedName>
    <definedName name="_bdm.28096F67E86446B9A3AA2A5CA97477DD.edm" hidden="1">#REF!</definedName>
    <definedName name="_bdm.288EB51F968840FC814ADB3198218DDD.edm" hidden="1">#REF!</definedName>
    <definedName name="_bdm.2954009F8BE84E029B85959D0DEA4E0D.edm" hidden="1">#REF!</definedName>
    <definedName name="_bdm.2A1F9A4E8F1D4510B3DC0AAE6A7843DF.edm" hidden="1">#REF!</definedName>
    <definedName name="_bdm.2A5D84E1960B4A8DB13740BC9250E76C.edm" hidden="1">#REF!</definedName>
    <definedName name="_bdm.2AE33BC7617B4CED8F85A91008F86AD9.edm" hidden="1">#REF!</definedName>
    <definedName name="_bdm.2B1CC8F4B6C543798639A8CBEFA8D69F.edm" hidden="1">#REF!</definedName>
    <definedName name="_bdm.2B686F036632429CBF4A5F369891BA9C.edm" hidden="1">#REF!</definedName>
    <definedName name="_bdm.2B8991C8FB944E59AAE16E141B55BB80.edm" hidden="1">#REF!</definedName>
    <definedName name="_bdm.2BD09F626ACC409A882F48D5CEABEC4D.edm" hidden="1">#REF!</definedName>
    <definedName name="_bdm.2BD873BA54BA41E5999000AA350593BA.edm" hidden="1">#REF!</definedName>
    <definedName name="_bdm.2BDF6DC525A84AF5B02C3F48FC64E9D2.edm" hidden="1">#REF!</definedName>
    <definedName name="_bdm.2BF54DEE655D4906A1DCB89B5C0326CB.edm" hidden="1">#REF!</definedName>
    <definedName name="_bdm.2C0378D087BB45BBBB724A7D1878D4E3.edm" hidden="1">#REF!</definedName>
    <definedName name="_bdm.2C089501CA6F479FA3F60A4BD1CD2F8A.edm" hidden="1">#REF!</definedName>
    <definedName name="_bdm.2C0D6DDD17C143128BF488EEC6AE2690.edm" hidden="1">#REF!</definedName>
    <definedName name="_bdm.2C9DA327C12541728A5140E454E540EF.edm" hidden="1">#REF!</definedName>
    <definedName name="_bdm.2CA0E968279F448C944E2F95C4CF8759.edm" hidden="1">#REF!</definedName>
    <definedName name="_bdm.2CD73647107545BBB1BEDC445743E0F0.edm" hidden="1">#REF!</definedName>
    <definedName name="_bdm.2CEE26B70EA04616A19F47FC09BD5BA3.edm" hidden="1">#REF!</definedName>
    <definedName name="_bdm.2D2E5889885545F89AB44C69953C2644.edm" hidden="1">#REF!</definedName>
    <definedName name="_bdm.2E09E147EF044E1D83FBBD1D9048FB13.edm" hidden="1">#REF!</definedName>
    <definedName name="_bdm.2E428D2EC9814B68ADCCB9B19DB22E22.edm" hidden="1">#REF!</definedName>
    <definedName name="_bdm.2E47D73BA49647F2B122CB6188E80D3F.edm" hidden="1">#REF!</definedName>
    <definedName name="_bdm.2EA4990CFDE94F1FB2B094E2E6C11FC8.edm" hidden="1">#REF!</definedName>
    <definedName name="_bdm.2F096A31D9F148B985FD794312F898E4.edm" hidden="1">#REF!</definedName>
    <definedName name="_bdm.2F25D9E0D1E14980B59276BB4E10A158.edm" hidden="1">#REF!</definedName>
    <definedName name="_bdm.2F52DA502DD2490294DD6C42F7184C1E.edm" hidden="1">#REF!</definedName>
    <definedName name="_bdm.2FDFBF0EBFB648DBA7942CF3DD0D5723.edm" hidden="1">#REF!</definedName>
    <definedName name="_bdm.307CDFDD143C475DA414907F5BF4BD16.edm" hidden="1">#REF!</definedName>
    <definedName name="_bdm.3091A39A84654A25B538129B9ACAD2DF.edm" hidden="1">#REF!</definedName>
    <definedName name="_bdm.30EDD22976CD4648BB17FFB0438289EA.edm" hidden="1">#REF!</definedName>
    <definedName name="_bdm.30EFF24C767445639AC3BDEE1C69B169.edm" hidden="1">#REF!</definedName>
    <definedName name="_bdm.312C478C63DC435A8F6AC04721734E14.edm" hidden="1">#REF!</definedName>
    <definedName name="_bdm.31FAF8A743024EF6BDEB1151DDF166DE.edm" hidden="1">#REF!</definedName>
    <definedName name="_bdm.3202C8268A64487D9AE4035F30D271B6.edm" hidden="1">#REF!</definedName>
    <definedName name="_bdm.327C600634DB461DA572D3017DFAF420.edm" hidden="1">#REF!</definedName>
    <definedName name="_bdm.332B2404CFE4441796AA1544CF40DB4E.edm" hidden="1">#REF!</definedName>
    <definedName name="_bdm.33488A5695094EDA8D78DF64C748817F.edm" hidden="1">#REF!</definedName>
    <definedName name="_bdm.336C07426481420D9C2A3A132D31DAB5.edm" hidden="1">#REF!</definedName>
    <definedName name="_bdm.33A1C5B66E6948FE984C7B7FA3350967.edm" hidden="1">#REF!</definedName>
    <definedName name="_bdm.33C5907FE61C41DBA6E2B1DECD1CCEFB.edm" hidden="1">#REF!</definedName>
    <definedName name="_bdm.33DCA2489AFE489093E29584AD646144.edm" hidden="1">#REF!</definedName>
    <definedName name="_bdm.33F22D7ADF5B43F5ADB1DBA6BCB4B7CD.edm" hidden="1">#REF!</definedName>
    <definedName name="_bdm.349557DCBEFF4F8E8D5C0228BF7D84B3.edm" hidden="1">#REF!</definedName>
    <definedName name="_bdm.34955D7CE2324A58AFBD7D751BAE3E08.edm" hidden="1">#REF!</definedName>
    <definedName name="_bdm.34B4F250FC6A4966A5ABFD741CD31C7F.edm" hidden="1">#REF!</definedName>
    <definedName name="_bdm.3540590B26A94C0A8576FDB7DB8C4AF1.edm" hidden="1">#REF!</definedName>
    <definedName name="_bdm.361A9A36F2BF4DC09160CE67DB22EADA.edm" hidden="1">#REF!</definedName>
    <definedName name="_bdm.3662D7A0274049DB9B4C8069F3A35328.edm" hidden="1">#REF!</definedName>
    <definedName name="_bdm.36692887C7784370AFD236AFED2EFE43.edm" hidden="1">#REF!</definedName>
    <definedName name="_bdm.3725BDC49D8E40C3A1171C39655E8550.edm" hidden="1">#REF!</definedName>
    <definedName name="_bdm.372846730AB749549F3ECA8005939F3A.edm" hidden="1">#REF!</definedName>
    <definedName name="_bdm.3772A3C9E9DB4CD3AD658C23E60B63D6.edm" hidden="1">#REF!</definedName>
    <definedName name="_bdm.38A7DEC1A1F641FE9A6827CA82310DDC.edm" hidden="1">#REF!</definedName>
    <definedName name="_bdm.39378294742045DC8C50EED15D1C5B6F.edm" hidden="1">#REF!</definedName>
    <definedName name="_bdm.39A8B2AC0284471BAE572A1508C50410.edm" hidden="1">#REF!</definedName>
    <definedName name="_bdm.39EA55EDEF484CDE8BB1EC0E2F03C29D.edm" hidden="1">#REF!</definedName>
    <definedName name="_bdm.3A012043914947E5B70271EFA5BCD11A.edm" hidden="1">#REF!</definedName>
    <definedName name="_bdm.3A4002C051C84559AFF45376905AD802.edm" hidden="1">#REF!</definedName>
    <definedName name="_bdm.3AC780486AA34D179DD16720570181F9.edm" hidden="1">#REF!</definedName>
    <definedName name="_bdm.3B68A94168A34896AA0D901A7C0CD876.edm" hidden="1">#REF!</definedName>
    <definedName name="_bdm.3BAB163442964E58928C707E69D7331C.edm" hidden="1">#REF!</definedName>
    <definedName name="_bdm.3C1F7E7A626A49C2B0E2D4835D1FEFF2.edm" hidden="1">#REF!</definedName>
    <definedName name="_bdm.3C9D40835677430C8C216298363233BC.edm" hidden="1">#REF!</definedName>
    <definedName name="_bdm.3D2CC9BFCECF4E67A7A2DBB135EECE58.edm" hidden="1">#REF!</definedName>
    <definedName name="_bdm.3DC51FFAE5B34A9B9CEF2C84F70CC02A.edm" hidden="1">#REF!</definedName>
    <definedName name="_bdm.3DD692E4D0CF40CCA1682614C96FDF5D.edm" hidden="1">#REF!</definedName>
    <definedName name="_bdm.3E090CDF1A9A4FB391993DEFB3E5CC03.edm" hidden="1">#REF!</definedName>
    <definedName name="_bdm.3E58AE55A8EF49399E9383CE951C01D1.edm" hidden="1">#REF!</definedName>
    <definedName name="_bdm.3F924B063EFF4EDCA257689B77BC6AC7.edm" hidden="1">#REF!</definedName>
    <definedName name="_bdm.40CB0518F45C4D059142FE8D37AA976E.edm" hidden="1">#REF!</definedName>
    <definedName name="_bdm.41E9F15DC46345D18D511414E874A422.edm" hidden="1">#REF!</definedName>
    <definedName name="_bdm.426B04DC839345F593849F17AA108273.edm" hidden="1">#REF!</definedName>
    <definedName name="_bdm.436B225C3CEE4B8481567F57EB18D693.edm" hidden="1">#REF!</definedName>
    <definedName name="_bdm.444B2206A38A4BA69159FAD17AB98F81.edm" hidden="1">#REF!</definedName>
    <definedName name="_bdm.446BCD2A6A454807848B68247CCC4F4A.edm" hidden="1">#REF!</definedName>
    <definedName name="_bdm.4492482F0B55452FB99276AE12073F54.edm" hidden="1">#REF!</definedName>
    <definedName name="_bdm.44FE5B48D0774E8BA34DC372BAA611B9.edm" hidden="1">#REF!</definedName>
    <definedName name="_bdm.460747DA77EB47A98CFB755E79265356.edm" hidden="1">#REF!</definedName>
    <definedName name="_bdm.466C30353B374321B8C6FB7D510BDCA2.edm" hidden="1">#REF!</definedName>
    <definedName name="_bdm.46C4EC63586F49EB9B3BA15876B2FC04.edm" hidden="1">#REF!</definedName>
    <definedName name="_bdm.46D3E9C7DA6F4704932482F5213A38EB.edm" hidden="1">#REF!</definedName>
    <definedName name="_bdm.47064DED4B5E447CA842B2A2A0B4603D.edm" hidden="1">#REF!</definedName>
    <definedName name="_bdm.4706DBBE78864C68B8256DA2B6FFD654.edm" hidden="1">#REF!</definedName>
    <definedName name="_bdm.47486A06C8AD425688AFCB3B22D1133A.edm" hidden="1">#REF!</definedName>
    <definedName name="_bdm.478B5CD28C844133AACFC9DF39DC43AF.edm" hidden="1">#REF!</definedName>
    <definedName name="_bdm.478E252CBB9641C19D40D358B9FDFF0D.edm" hidden="1">#REF!</definedName>
    <definedName name="_bdm.485CB462023F465FA148C80CF1DF5306.edm" hidden="1">#REF!</definedName>
    <definedName name="_bdm.489191CF407F4D3EB49116871E3D29CF.edm" hidden="1">#REF!</definedName>
    <definedName name="_bdm.4895E545981248FCA9AE9603FDDC836F.edm" hidden="1">#REF!</definedName>
    <definedName name="_bdm.496B84B3DCE348BCAFEBE40E9DD75012.edm" hidden="1">#REF!</definedName>
    <definedName name="_bdm.4A12C272B4AF4852B45A3B53D96FA6E8.edm" hidden="1">#REF!</definedName>
    <definedName name="_bdm.4AB41EA486B24827BAC8411104450F1A.edm" hidden="1">#REF!</definedName>
    <definedName name="_bdm.4AE99357BC14498D8CAF11F2CA592F4B.edm" hidden="1">#REF!</definedName>
    <definedName name="_bdm.4B1AFB48E76B43A4AB3E89F10A2D5BEE.edm" hidden="1">#REF!</definedName>
    <definedName name="_bdm.4B77C271E0A34AA39783CC8280DC280C.edm" hidden="1">#REF!</definedName>
    <definedName name="_bdm.4BC28CC06BF3467AA5AC1426BF59373B.edm" hidden="1">#REF!</definedName>
    <definedName name="_bdm.4C3EB4FE854E43CFAE6F54EB631D1C1F.edm" hidden="1">#REF!</definedName>
    <definedName name="_bdm.4D1F0D8BCF9D4379929562CEB4F0701A.edm" hidden="1">#REF!</definedName>
    <definedName name="_bdm.4D3E16DB19C5488FBA540F19461C6273.edm" hidden="1">#REF!</definedName>
    <definedName name="_bdm.4D4CE99942FE493AA387974D5EDF2789.edm" hidden="1">#REF!</definedName>
    <definedName name="_bdm.4DD0C8962A08468BA8A02F28DF081473.edm" hidden="1">#REF!</definedName>
    <definedName name="_bdm.4DF2996285A242DC92901A7B866B6F89.edm" hidden="1">#REF!</definedName>
    <definedName name="_bdm.4E18F2FBB35D437E9824E08BD4BEDAAE.edm" hidden="1">#REF!</definedName>
    <definedName name="_bdm.4E6F1B25CA7440F897CE923ED4905B14.edm" hidden="1">#REF!</definedName>
    <definedName name="_bdm.4EE0B71E4B0145A1BEA0DFD8183E86EB.edm" hidden="1">#REF!</definedName>
    <definedName name="_bdm.4F10A7067052416086343648DE345934.edm" hidden="1">#REF!</definedName>
    <definedName name="_bdm.4F61F0E8FC214E56A0B55E8960777C1A.edm" hidden="1">#REF!</definedName>
    <definedName name="_bdm.4FBD7DEE5F6D40C7A08F42E15D58BFC1.edm" hidden="1">#REF!</definedName>
    <definedName name="_bdm.50BD4903B258477D8BC6F84DAFFC67FE.edm" hidden="1">#REF!</definedName>
    <definedName name="_bdm.50D7CF27216A42C889D34F484504AD69.edm" hidden="1">#REF!</definedName>
    <definedName name="_bdm.50F279376ABF4EEA9BB93FECD056696A.edm" hidden="1">#REF!</definedName>
    <definedName name="_bdm.513088AAF7E14B76B99B5C40C1920E60.edm" hidden="1">#REF!</definedName>
    <definedName name="_bdm.517078DF15B5414A8D973BD659C20365.edm" hidden="1">#REF!</definedName>
    <definedName name="_bdm.51B4CF8B9A2344FE804DD1E8A7791AF2.edm" hidden="1">#REF!</definedName>
    <definedName name="_bdm.51CA62497DA74DA69C00224891C26CBA.edm" hidden="1">#REF!</definedName>
    <definedName name="_bdm.51DAB588DB9942EA9FD227A74BED57D1.edm" hidden="1">#REF!</definedName>
    <definedName name="_bdm.528C81BB5BDC41D4BE51966513F07C1D.edm" hidden="1">#REF!</definedName>
    <definedName name="_bdm.52CE706259CA4193B3DA602A6BFDEB33.edm" hidden="1">#REF!</definedName>
    <definedName name="_bdm.5346F5AD97524152B0AB94F9D2E4229E.edm" hidden="1">#REF!</definedName>
    <definedName name="_bdm.535F8182450144A49EC5DF3A00A29FBA.edm" hidden="1">#REF!</definedName>
    <definedName name="_bdm.53713BA4564942F7AFC5B835DEC1CF29.edm" hidden="1">#REF!</definedName>
    <definedName name="_bdm.5459BEE36D56429FA508F50641B16056.edm" hidden="1">#REF!</definedName>
    <definedName name="_bdm.54944DC12BDB4B34B3D5B915ED0E5FF5.edm" hidden="1">#REF!</definedName>
    <definedName name="_bdm.54A0CAD3B80F40118CC4F8E8CBD2CACF.edm" hidden="1">#REF!</definedName>
    <definedName name="_bdm.55DBA3E8DCE2478E9E802FEDE9BE7749.edm" hidden="1">#REF!</definedName>
    <definedName name="_bdm.56124CC14FA746B6B46921F40F28BFAB.edm" hidden="1">#REF!</definedName>
    <definedName name="_bdm.561751939EE449F39BDFAB947D35A203.edm" hidden="1">#REF!</definedName>
    <definedName name="_bdm.5696A0D5433F49D4865156A6DB00CF72.edm" hidden="1">#REF!</definedName>
    <definedName name="_bdm.569E8C2573594C14B99895AC8EF131A3.edm" hidden="1">#REF!</definedName>
    <definedName name="_bdm.57C8CD3D7DFA4AA882E1B3DE18E736C2.edm" hidden="1">#REF!</definedName>
    <definedName name="_bdm.57D7FFE4DAAF40EB82914B83A23F085C.edm" hidden="1">#REF!</definedName>
    <definedName name="_bdm.57ED2E1E248B484DBB27B809C9247490.edm" hidden="1">#REF!</definedName>
    <definedName name="_bdm.57F9133F8AF94CBDBF5AB0AE21792BEB.edm" hidden="1">#REF!</definedName>
    <definedName name="_bdm.57FAF79DDB26488CBF6F468AAD102F27.edm" hidden="1">#REF!</definedName>
    <definedName name="_bdm.584D4F374A984FEAA4E1F0A62609A73E.edm" hidden="1">#REF!</definedName>
    <definedName name="_bdm.5851B0650D5C4D63BA9CC6026B55BB0A.edm" hidden="1">#REF!</definedName>
    <definedName name="_bdm.5877BC8796844CE3A85034B202DDB6C0.edm" hidden="1">#REF!</definedName>
    <definedName name="_bdm.589901537B274BF792448A5E59FC8CB6.edm" hidden="1">#REF!</definedName>
    <definedName name="_bdm.58A8A0D4F1B84A3AA49D9ACECD1B3B92.edm" hidden="1">#REF!</definedName>
    <definedName name="_bdm.595451C85CBC4376AB401C7014E4CF5F.edm" hidden="1">#REF!</definedName>
    <definedName name="_bdm.598E752717D443759028F8AC128F48D5.edm" hidden="1">#REF!</definedName>
    <definedName name="_bdm.59B9D69CE56A4A68815B6A7F5C8F3C68.edm" hidden="1">#REF!</definedName>
    <definedName name="_bdm.59DD29AF92674D0AA5002A5B8A198CD5.edm" hidden="1">#REF!</definedName>
    <definedName name="_bdm.5AF6AA25243C4F5BB196F43B5BBF1AAC.edm" hidden="1">#REF!</definedName>
    <definedName name="_bdm.5B075678890940A9A94CA7FE1493D1A3.edm" hidden="1">#REF!</definedName>
    <definedName name="_bdm.5B0BD9579F3E4D5BB9534A9B0A41DE4D.edm" hidden="1">#REF!</definedName>
    <definedName name="_bdm.5B17D681192B45F2BE0F31F083C26C3B.edm" hidden="1">#REF!</definedName>
    <definedName name="_bdm.5B8853FCE0ED42889507A8BAFA27CFCE.edm" hidden="1">#REF!</definedName>
    <definedName name="_bdm.5B9D08208BEA4FC9B9EC1072EED58BC2.edm" hidden="1">#REF!</definedName>
    <definedName name="_bdm.5BE878BB79A049F89116C90BC6A96E79.edm" hidden="1">#REF!</definedName>
    <definedName name="_bdm.5C2CC264937B4EC8BE1AAF8267E5BE79.edm" hidden="1">#REF!</definedName>
    <definedName name="_bdm.5C2F16D04DB641429C2ECC2FD4C1CF38.edm" hidden="1">#REF!</definedName>
    <definedName name="_bdm.5C9761554DC74C6290AD7EC8BB270F05.edm" hidden="1">#REF!</definedName>
    <definedName name="_bdm.5C9A4274E0E143409A32A679F8A61A4F.edm" hidden="1">#REF!</definedName>
    <definedName name="_bdm.5C9BD23A0AD44B6887A75ACA258F1F68.edm" hidden="1">#REF!</definedName>
    <definedName name="_bdm.5C9ECFE796C640FEA68C7A7FDEC1155C.edm" hidden="1">#REF!</definedName>
    <definedName name="_bdm.5CB97DDBD8B04992BBEEE01D4E5D4153.edm" hidden="1">#REF!</definedName>
    <definedName name="_bdm.5CC2E42B8E7146EAA9F47FF3AAFC5B17.edm" hidden="1">#REF!</definedName>
    <definedName name="_bdm.5CFA965B290A461FA8328FA0B03283CF.edm" hidden="1">#REF!</definedName>
    <definedName name="_bdm.5D0EB74B8BCC407B9537C747A0274A4F.edm" hidden="1">#REF!</definedName>
    <definedName name="_bdm.5D34E99138D44C1CB1EFAE3A44B8E1F9.edm" hidden="1">#REF!</definedName>
    <definedName name="_bdm.5DB964F708F7494C97ED464D4564975A.edm" hidden="1">#REF!</definedName>
    <definedName name="_bdm.5E3DCB481E9548FFB70DEEA097C37635.edm" hidden="1">#REF!</definedName>
    <definedName name="_bdm.5E53A581DBA5465189E3F86D6F558BBE.edm" hidden="1">#REF!</definedName>
    <definedName name="_bdm.5EAF8BD543754B25B0ADADC51651A7EF.edm" hidden="1">#REF!</definedName>
    <definedName name="_bdm.5EC47B88233C4CCEBB738171BED88F84.edm" hidden="1">#REF!</definedName>
    <definedName name="_bdm.5F79D8CC6DBD429DBBE312C6F9EC683B.edm" hidden="1">#REF!</definedName>
    <definedName name="_bdm.5FCC6E832DFB4BB79885468CCF9CF31A.edm" hidden="1">#REF!</definedName>
    <definedName name="_bdm.5FF824A0CC4A40A0804C516A1B8AFCD9.edm" hidden="1">#REF!</definedName>
    <definedName name="_bdm.6139B2D0A9D046568462003952E30411.edm" hidden="1">#REF!</definedName>
    <definedName name="_bdm.613ACE4E65744F248CE8F71A81FBAE9A.edm" hidden="1">#REF!</definedName>
    <definedName name="_bdm.621B6A59E96F4C129FCA411D1AC7CFC8.edm" hidden="1">#REF!</definedName>
    <definedName name="_bdm.624C04683BEF45FA8ED19815606C3AC9.edm" hidden="1">#REF!</definedName>
    <definedName name="_bdm.62685EEFEEF0469589644AC6CE733B5D.edm" hidden="1">#REF!</definedName>
    <definedName name="_bdm.62C3A3F6B95144C49344434189C059FF.edm" hidden="1">#REF!</definedName>
    <definedName name="_bdm.63B4555C3E9740F0B166EF4520071DF1.edm" hidden="1">#REF!</definedName>
    <definedName name="_bdm.63D9A381D00042658CB1BF54C7FC2AAC.edm" hidden="1">#REF!</definedName>
    <definedName name="_bdm.64FC1116C72C42B6909DA9F63EDEB475.edm" hidden="1">#REF!</definedName>
    <definedName name="_bdm.650482CC37F54C7486109DE5CF662E51.edm" hidden="1">#REF!</definedName>
    <definedName name="_bdm.6519E701636E4E37A563898B6E36CC56.edm" hidden="1">#REF!</definedName>
    <definedName name="_bdm.6598F473D5DB4BB5B5EC52A04FFCDC12.edm" hidden="1">#REF!</definedName>
    <definedName name="_bdm.65E45162282845EDBAC926617876E467.edm" hidden="1">#REF!</definedName>
    <definedName name="_bdm.6657B5290BF149A385F91068D9C7FC18.edm" hidden="1">#REF!</definedName>
    <definedName name="_bdm.6676DAB6347E407B8E1BE155BA6F4838.edm" hidden="1">#REF!</definedName>
    <definedName name="_bdm.669E03D999FC49EB993534F9A826F1DB.edm" hidden="1">#REF!</definedName>
    <definedName name="_bdm.6791766605244BD5A906E0F592DDB019.edm" hidden="1">#REF!</definedName>
    <definedName name="_bdm.67CE6EE77A6849B6B24982AB1DA251F7.edm" hidden="1">#REF!</definedName>
    <definedName name="_bdm.67F95BEC66AB40CDB9061A1D560068AA.edm" hidden="1">#REF!</definedName>
    <definedName name="_bdm.68C33A04518E4EC2A1DEC67878E2A351.edm" hidden="1">#REF!</definedName>
    <definedName name="_bdm.68D53E3E301E419C81640E96B51C0541.edm" hidden="1">#REF!</definedName>
    <definedName name="_bdm.69171AF4927342A89F30890E477E9652.edm" hidden="1">#REF!</definedName>
    <definedName name="_bdm.692B7F99FC2E4E97ACF9B9BD81DC2C28.edm" hidden="1">#REF!</definedName>
    <definedName name="_bdm.69D32D3675C843DA8F3FE1573BB72DC3.edm" hidden="1">#REF!</definedName>
    <definedName name="_bdm.69DEAEF0C59248C78A08853D1619F653.edm" hidden="1">#REF!</definedName>
    <definedName name="_bdm.69FB87B386074066B28D02646251BE11.edm" hidden="1">#REF!</definedName>
    <definedName name="_bdm.6AF363F23E5D4831875D36E8308AC602.edm" hidden="1">#REF!</definedName>
    <definedName name="_bdm.6B46CAB648BA47FABE71C35700A5D62D.edm" hidden="1">#REF!</definedName>
    <definedName name="_bdm.6B9F1AAC96364234AE2FB8179E154542.edm" hidden="1">#REF!</definedName>
    <definedName name="_bdm.6BF0E9E815284022980CE1F9EC0094CD.edm" hidden="1">#REF!</definedName>
    <definedName name="_bdm.6CAC72C2F2EF4A3383F0B28BFEC8CCE5.edm" hidden="1">#REF!</definedName>
    <definedName name="_bdm.6E07ED50E19143CE9F6F3DDD64638253.edm" hidden="1">#REF!</definedName>
    <definedName name="_bdm.6EA10269A3B24951B5D6A5311EE84D94.edm" hidden="1">#REF!</definedName>
    <definedName name="_bdm.6ECC9AB0AF374354B55BC66F3271C419.edm" hidden="1">#REF!</definedName>
    <definedName name="_bdm.6F69556A266242099AAE3932103FE1FE.edm" hidden="1">#REF!</definedName>
    <definedName name="_bdm.6FA9C8E0E53E4BC8B8C58F8A2A942702.edm" hidden="1">#REF!</definedName>
    <definedName name="_bdm.6FCE41D658274903B5016F37BAF8A09A.edm" hidden="1">#REF!</definedName>
    <definedName name="_bdm.704F3E29EAF4410CBDA58ED6C22B8D61.edm" hidden="1">#REF!</definedName>
    <definedName name="_bdm.706C7DCF9BCA42B3A55927210D15C366.edm" hidden="1">#REF!</definedName>
    <definedName name="_bdm.7083CF59816C476FBF59D9DA8E47C842.edm" hidden="1">#REF!</definedName>
    <definedName name="_bdm.7087B0FF9D6A476BB3E1C7619F90CF23.edm" hidden="1">#REF!</definedName>
    <definedName name="_bdm.70A063EE23FB4349877157024E63138F.edm" hidden="1">#REF!</definedName>
    <definedName name="_bdm.70CC2A5D3C04401A99217023E94EAC5F.edm" hidden="1">#REF!</definedName>
    <definedName name="_bdm.712698CFBF7E418999B39A0EE22EF559.edm" hidden="1">#REF!</definedName>
    <definedName name="_bdm.719E24A5B7E6422A98E257509B9153A6.edm" hidden="1">#REF!</definedName>
    <definedName name="_bdm.71A1B8AC84514C4CB6D5427DB100017F.edm" hidden="1">#REF!</definedName>
    <definedName name="_bdm.7217CD8060D84BE38299832E7C75B6D4.edm" hidden="1">#REF!</definedName>
    <definedName name="_bdm.72EB89E721A1448DBD4A0575D5040E5B.edm" hidden="1">#REF!</definedName>
    <definedName name="_bdm.73118D42214741CDA0DA3472C1D35FE9.edm" hidden="1">#REF!</definedName>
    <definedName name="_bdm.74611500386C415C9724665A67AACE6A.edm" hidden="1">#REF!</definedName>
    <definedName name="_bdm.7490DF1E760B4E0C99554C8A92C69523.edm" hidden="1">#REF!</definedName>
    <definedName name="_bdm.758322C5072D4D9B99DF5A4EB8AF126B.edm" hidden="1">#REF!</definedName>
    <definedName name="_bdm.75D0DCEB04C94512909C06F6F9D1F0A7.edm" hidden="1">#REF!</definedName>
    <definedName name="_bdm.7643D89162F948DD8244152D362C9934.edm" hidden="1">#REF!</definedName>
    <definedName name="_bdm.76AD353101F049069FB316AF6D48136D.edm" hidden="1">#REF!</definedName>
    <definedName name="_bdm.76C1C8601913451D838B60DF8F2FEDB6.edm" hidden="1">#REF!</definedName>
    <definedName name="_bdm.771329909D4440768910BD76CA754A0C.edm" hidden="1">#REF!</definedName>
    <definedName name="_bdm.776B1072AF01473EB39CCF973D890436.edm" hidden="1">#REF!</definedName>
    <definedName name="_bdm.77935E09A3ED4712B20DDEBE809BC0B7.edm" hidden="1">#REF!</definedName>
    <definedName name="_bdm.77CC7B0CEF02431BA982D987B1CB13E4.edm" hidden="1">#REF!</definedName>
    <definedName name="_bdm.792860EEFD1A41A6B112CA62466F734D.edm" hidden="1">#REF!</definedName>
    <definedName name="_bdm.79339ADD7A8F4A43A6B7F1DED438B809.edm" hidden="1">#REF!</definedName>
    <definedName name="_bdm.795F61C649BE44849E23B3A606603BA1.edm" hidden="1">#REF!</definedName>
    <definedName name="_bdm.798A722B530F47CE904BB82D8CD4B6BB.edm" hidden="1">#REF!</definedName>
    <definedName name="_bdm.7A205DC733E34F5EBDE4F74FF7D37A30.edm" hidden="1">#REF!</definedName>
    <definedName name="_bdm.7A26ECDA2B3548D9A86D1DBC8B588515.edm" hidden="1">#REF!</definedName>
    <definedName name="_bdm.7AF06CCF8EF142A0B54ED20ADD4A654D.edm" hidden="1">#REF!</definedName>
    <definedName name="_bdm.7B182C4FB3234807BDB8494B93DBFFF3.edm" hidden="1">#REF!</definedName>
    <definedName name="_bdm.7B254461E5324E45BEE190E68FF83051.edm" hidden="1">#REF!</definedName>
    <definedName name="_bdm.7B47D970CBE145089C5875DF770B3644.edm" hidden="1">#REF!</definedName>
    <definedName name="_bdm.7BCCBD5FCF034AC6A9E6CB3E672BE509.edm" hidden="1">#REF!</definedName>
    <definedName name="_bdm.7CE9D4C64C6A4B44AD92B2A7DDBCF21B.edm" hidden="1">#REF!</definedName>
    <definedName name="_bdm.7D4F98FB9D924F77BCB2E2AFF13DFA8E.edm" hidden="1">#REF!</definedName>
    <definedName name="_bdm.7D824340CB6A4DB1AFCF9B66EDB671E6.edm" hidden="1">#REF!</definedName>
    <definedName name="_bdm.7D916AC2CC6E4F8FB065D6C265518558.edm" hidden="1">#REF!</definedName>
    <definedName name="_bdm.7DBDA030E1AD41FC9FDB644EC8B70ECF.edm" hidden="1">#REF!</definedName>
    <definedName name="_bdm.7E1CA542D5AC4EC1AE23DFAD3FCDBEF2.edm" hidden="1">#REF!</definedName>
    <definedName name="_bdm.7E1F869AD2E2493A8E3723BF028DB57F.edm" hidden="1">#REF!</definedName>
    <definedName name="_bdm.7E2DB958E622416B8BE1A799AEAA0D59.edm" hidden="1">#REF!</definedName>
    <definedName name="_bdm.7EE00B6435C1476AAA5C97C4B6EAE357.edm" hidden="1">#REF!</definedName>
    <definedName name="_bdm.7EEF716D9AAE4797A4717E5A60361CA4.edm" hidden="1">#REF!</definedName>
    <definedName name="_bdm.7F47B7B7D6B04068BB785BE4A08F7831.edm" hidden="1">#REF!</definedName>
    <definedName name="_bdm.7F4BF066DACB43289D2754963C55E971.edm" hidden="1">#REF!</definedName>
    <definedName name="_bdm.7F8C54A9057E4794B95BDB71D089F2C6.edm" hidden="1">#REF!</definedName>
    <definedName name="_bdm.7FB5BE1659764F0DB7F0C405DAF5A8CC.edm" hidden="1">#REF!</definedName>
    <definedName name="_bdm.800938B0E67B4B17AB392F3AA6213245.edm" hidden="1">#REF!</definedName>
    <definedName name="_bdm.80358D45803E485B9FA73D2803697583.edm" hidden="1">#REF!</definedName>
    <definedName name="_bdm.80A2B4E4B585488DBEDFD18045D27C4B.edm" hidden="1">#REF!</definedName>
    <definedName name="_bdm.80DE27F8AFF84257A574644C589D8C57.edm" hidden="1">#REF!</definedName>
    <definedName name="_bdm.810757DA8E6847FD970CEB3C8143D777.edm" hidden="1">#REF!</definedName>
    <definedName name="_bdm.81940E126AC04B9EBDCB3181AE224311.edm" hidden="1">#REF!</definedName>
    <definedName name="_bdm.81D73AFAFCD5419EA306D9BB6551825C.edm" hidden="1">#REF!</definedName>
    <definedName name="_bdm.81E75C4FC8E14DE3B6DBEBF2E1A75CFE.edm" hidden="1">#REF!</definedName>
    <definedName name="_bdm.823B08A8FC88406494FF440E2D778393.edm" hidden="1">#REF!</definedName>
    <definedName name="_bdm.8268AFEA12A442CBAB13DCA628FF8DD3.edm" hidden="1">#REF!</definedName>
    <definedName name="_bdm.827A71F4F0C94CC98D922F2C9772674B.edm" hidden="1">#REF!</definedName>
    <definedName name="_bdm.82A57821055743EDAFAD28F93C73E807.edm" hidden="1">#REF!</definedName>
    <definedName name="_bdm.82B8BD634988435395214C286D17E7BE.edm" hidden="1">#REF!</definedName>
    <definedName name="_bdm.82C4288BA67947C88ED7AA785A5AECD9.edm" hidden="1">#REF!</definedName>
    <definedName name="_bdm.82E9B0D3FC7C47B2AF803183F641783D.edm" hidden="1">#REF!</definedName>
    <definedName name="_bdm.82EFA27717C142FBB420C303C579BA29.edm" hidden="1">#REF!</definedName>
    <definedName name="_bdm.834B4DE5E2104538AA0E2FD52DA653C2.edm" hidden="1">#REF!</definedName>
    <definedName name="_bdm.837ED422A37847338AB1E5039C781FF7.edm" hidden="1">#REF!</definedName>
    <definedName name="_bdm.83CE24821CE143C69594BF4F557FB460.edm" hidden="1">#REF!</definedName>
    <definedName name="_bdm.83FC62B51CC04A2E9B48AF6481DB9F0D.edm" hidden="1">#REF!</definedName>
    <definedName name="_bdm.8424C16EDEF14CA7898990189BA056D4.edm" hidden="1">#REF!</definedName>
    <definedName name="_bdm.84A764F4FE1F424187718A2C36F5B4BF.edm" hidden="1">#REF!</definedName>
    <definedName name="_bdm.854CE3A37CAB4C999C4B27DBA716322D.edm" hidden="1">#REF!</definedName>
    <definedName name="_bdm.85511F3709554F5A88F1693A96D326EC.edm" hidden="1">#REF!</definedName>
    <definedName name="_bdm.8575D7ECDD83400C89A165638EB5EE20.edm" hidden="1">#REF!</definedName>
    <definedName name="_bdm.857B94AC2182472E8AB6D321C42FF487.edm" hidden="1">#REF!</definedName>
    <definedName name="_bdm.85D0E3585AD74D84819750EA77D0FBBC.edm" hidden="1">#REF!</definedName>
    <definedName name="_bdm.863BF4F7290140E69B2B87490F07484B.edm" hidden="1">#REF!</definedName>
    <definedName name="_bdm.8675DB842C634C98AF6C76069F789CF2.edm" hidden="1">#REF!</definedName>
    <definedName name="_bdm.87DC1786544C476B82BA9840E68EE4C0.edm" hidden="1">#REF!</definedName>
    <definedName name="_bdm.87E6133EF43847F095F90DAA9F14B7A5.edm" hidden="1">#REF!</definedName>
    <definedName name="_bdm.87F43D6E3C7B4E46BB5663652E4EC44A.edm" hidden="1">#REF!</definedName>
    <definedName name="_bdm.887D135A99394734872F1AA39D36FC98.edm" hidden="1">#REF!</definedName>
    <definedName name="_bdm.8A758022A52344BAA575B44F56309440.edm" hidden="1">#REF!</definedName>
    <definedName name="_bdm.8AA3C398B33D4644A07AC275ED511F19.edm" hidden="1">#REF!</definedName>
    <definedName name="_bdm.8B11247125E94C788CE1C02F7467F56A.edm" hidden="1">#REF!</definedName>
    <definedName name="_bdm.8C5C22A59F724010B6A32A88E7B2702F.edm" hidden="1">#REF!</definedName>
    <definedName name="_bdm.8D9267D20C5A4950AF00141D6D320630.edm" hidden="1">#REF!</definedName>
    <definedName name="_bdm.8DFDFDCD4C0247F9BFC481FA71A5E123.edm" hidden="1">#REF!</definedName>
    <definedName name="_bdm.8EDF6487C38E4311BB56C27CC34A12C3.edm" hidden="1">#REF!</definedName>
    <definedName name="_bdm.8F2D1730F7654A21A73FEEBE202F5D42.edm" hidden="1">#REF!</definedName>
    <definedName name="_bdm.8FF63F5E0CBF4F919E65B183138F1555.edm" hidden="1">#REF!</definedName>
    <definedName name="_bdm.9090244CA8D74A91BA72174C9ACDB2F7.edm" hidden="1">#REF!</definedName>
    <definedName name="_bdm.9093C8F170AC4387AA424563A523D640.edm" hidden="1">#REF!</definedName>
    <definedName name="_bdm.90A8C2B24E6B4D708AFCB03F66B23F3B.edm" hidden="1">#REF!</definedName>
    <definedName name="_bdm.90D796657FEA4FF3A2C72CD3900B02A6.edm" hidden="1">#REF!</definedName>
    <definedName name="_bdm.9113DC062F524B53844BD5DFAD45AAA8.edm" hidden="1">#REF!</definedName>
    <definedName name="_bdm.91173A0951244079B36DF54ED374646A.edm" hidden="1">#REF!</definedName>
    <definedName name="_bdm.912951C0F4FE4B5A813AFFEB07FF581B.edm" hidden="1">#REF!</definedName>
    <definedName name="_bdm.913FA7EE6F8A4250B38C02AE3EE29770.edm" hidden="1">#REF!</definedName>
    <definedName name="_bdm.91C8DCF4999C46759F86BA666726AD5E.edm" hidden="1">#REF!</definedName>
    <definedName name="_bdm.925139B8251749AA84AA5990DF9410D6.edm" hidden="1">#REF!</definedName>
    <definedName name="_bdm.92BD5202834647C19D2BB44816804348.edm" hidden="1">#REF!</definedName>
    <definedName name="_bdm.930980DAD6774F63BF85843257B1434E.edm" hidden="1">#REF!</definedName>
    <definedName name="_bdm.931B398E9C4B4FAAB1503450018FE3BF.edm" hidden="1">#REF!</definedName>
    <definedName name="_bdm.938C210AAC49466FB0F7963C2AABB464.edm" hidden="1">#REF!</definedName>
    <definedName name="_bdm.950783D8398949178CEB2D026C0D0EFC.edm" hidden="1">#REF!</definedName>
    <definedName name="_bdm.9558C6FD2D1A41DAB7EBD3A408924DE6.edm" hidden="1">#REF!</definedName>
    <definedName name="_bdm.955A3CBF89CD4B73A27766F0ED970494.edm" hidden="1">#REF!</definedName>
    <definedName name="_bdm.95715A5BB5E3499A94DC8975E4288E8F.edm" hidden="1">#REF!</definedName>
    <definedName name="_bdm.9640BD0530BD4C3390126D46FD2813E4.edm" hidden="1">#REF!</definedName>
    <definedName name="_bdm.964DBD4A6DF0473D89DF12DE74818FDC.edm" hidden="1">#REF!</definedName>
    <definedName name="_bdm.97450FEA63AC48C29BB4280DA28F67B3.edm" hidden="1">#REF!</definedName>
    <definedName name="_bdm.981F34D769924459A2161DBAABD778EE.edm" hidden="1">#REF!</definedName>
    <definedName name="_bdm.984E06A6ACDF4279BD838011E4A5AF2C.edm" hidden="1">#REF!</definedName>
    <definedName name="_bdm.98A36015EE27441090C735885E601553.edm" hidden="1">#REF!</definedName>
    <definedName name="_bdm.991A663BE1BA4CE6916986AE15E5C2FE.edm" hidden="1">#REF!</definedName>
    <definedName name="_bdm.99360D89E3C540ADBF0AA7B20E277903.edm" hidden="1">#REF!</definedName>
    <definedName name="_bdm.99CF7A7A764440C4AEABDC10D7096928.edm" hidden="1">#REF!</definedName>
    <definedName name="_bdm.99E8AEE5668A419DAE457595D1F12291.edm" hidden="1">#REF!</definedName>
    <definedName name="_bdm.99ECE305D9964B3EB31187E43523C73A.edm" hidden="1">#REF!</definedName>
    <definedName name="_bdm.9A4F0446294448E795DA6744139152F1.edm" hidden="1">#REF!</definedName>
    <definedName name="_bdm.9A8399B074D64B1E8F650F4B0C28ED1A.edm" hidden="1">#REF!</definedName>
    <definedName name="_bdm.9A8953AC75F44FAE9BAD4D5E682D2693.edm" hidden="1">#REF!</definedName>
    <definedName name="_bdm.9AC895413D3249F2AB7B992336538FB8.edm" hidden="1">#REF!</definedName>
    <definedName name="_bdm.9AD6B69603B7489AADB8B69EB68D4A8E.edm" hidden="1">#REF!</definedName>
    <definedName name="_bdm.9B3A5B7FB2794DB798AD56302595A423.edm" hidden="1">#REF!</definedName>
    <definedName name="_bdm.9BCECE44E6594BFCB08F29D95D45430A.edm" hidden="1">#REF!</definedName>
    <definedName name="_bdm.9BF0D7DF3ECA480DB15229267BB6473B.edm" hidden="1">#REF!</definedName>
    <definedName name="_bdm.9C5E33F06FFD4E02AE99E21017847A25.edm" hidden="1">#REF!</definedName>
    <definedName name="_bdm.9C6BEA5FC41F428ABB89C1DC1049625A.edm" hidden="1">#REF!</definedName>
    <definedName name="_bdm.9D91F3A34B3249489B6D2FA278CD6116.edm" hidden="1">#REF!</definedName>
    <definedName name="_bdm.9E9701EA6301421ABFB9FC5C00F4AF50.edm" hidden="1">#REF!</definedName>
    <definedName name="_bdm.9EF4A578A7BC4DF198F9E7FE200EA5A6.edm" hidden="1">#REF!</definedName>
    <definedName name="_bdm.9F281C2D729544CBA58025780394E066.edm" hidden="1">#REF!</definedName>
    <definedName name="_bdm.9F49B659818E4F8DB537CBAD556706A7.edm" hidden="1">#REF!</definedName>
    <definedName name="_bdm.9FF87A4F187841A5BC157D689CF32ACE.edm" hidden="1">#REF!</definedName>
    <definedName name="_bdm.A0225FB6209F4070BC87420920901261.edm" hidden="1">#REF!</definedName>
    <definedName name="_bdm.A0FB5C0D7A1C4E72AD632A2E87049DE9.edm" hidden="1">#REF!</definedName>
    <definedName name="_bdm.A0FC95D084484F4CB0DB8065802DAEC2.edm" hidden="1">#REF!</definedName>
    <definedName name="_bdm.A11D48E90D0843AF84CE10A3E253D8A9.edm" hidden="1">#REF!</definedName>
    <definedName name="_bdm.A148454F885246CCB2F1B82575D5DB4D.edm" hidden="1">#REF!</definedName>
    <definedName name="_bdm.A186F40BC883499DB9A1EB8BBE569A39.edm" hidden="1">#REF!</definedName>
    <definedName name="_bdm.A18B20E904004630982C738173CBF9B0.edm" hidden="1">#REF!</definedName>
    <definedName name="_bdm.A1BAB5129E7B4D3C81EAD3C20AFF3F20.edm" hidden="1">#REF!</definedName>
    <definedName name="_bdm.A1D1AD1571BE424290E846A33A7E4C10.edm" hidden="1">#REF!</definedName>
    <definedName name="_bdm.A289B5ADA0024635A9B44430326135DF.edm" hidden="1">#REF!</definedName>
    <definedName name="_bdm.A3938693C4AA4101B5EA684FA4DC9EC5.edm" hidden="1">#REF!</definedName>
    <definedName name="_bdm.A40FA1210E7B47999FC113BE918E2E7D.edm" hidden="1">#REF!</definedName>
    <definedName name="_bdm.A47690466B074C2595AFD45A96169806.edm" hidden="1">#REF!</definedName>
    <definedName name="_bdm.A485ABB4DF2349E6BCA1AA79ECCB7442.edm" hidden="1">#REF!</definedName>
    <definedName name="_bdm.A48AFFEA3E354CDE8285A24CA0C55933.edm" hidden="1">#REF!</definedName>
    <definedName name="_bdm.A49B998754AA4844BC9B8E0DC8F76879.edm" hidden="1">#REF!</definedName>
    <definedName name="_bdm.A4D67B401D0744CE92125A294A1756ED.edm" hidden="1">#REF!</definedName>
    <definedName name="_bdm.A58B705128C648879CBBD88F724C844F.edm" hidden="1">#REF!</definedName>
    <definedName name="_bdm.A58F245F1B89460A8F164E5CAAA148A8.edm" hidden="1">#REF!</definedName>
    <definedName name="_bdm.A5F535492512432A8901717E7ED3338A.edm" hidden="1">#REF!</definedName>
    <definedName name="_bdm.A60B08BA82324890B93913E05CC34D5C.edm" hidden="1">#REF!</definedName>
    <definedName name="_bdm.A65A8083DBB14145BC4BE9A74C4946B1.edm" hidden="1">#REF!</definedName>
    <definedName name="_bdm.A6732200B7CF49DF880F244B3C2558F1.edm" hidden="1">#REF!</definedName>
    <definedName name="_bdm.A6EBA1A6287C4D08821F9261BEC5BB9F.edm" hidden="1">#REF!</definedName>
    <definedName name="_bdm.A843B10E23444DF4BF9548958BCE1994.edm" hidden="1">#REF!</definedName>
    <definedName name="_bdm.A8637A6BEE354D0C8FFD84419A5B55EE.edm" hidden="1">#REF!</definedName>
    <definedName name="_bdm.A8715AB9E6DF421394B78E1BCEE371F3.edm" hidden="1">#REF!</definedName>
    <definedName name="_bdm.A8D2F8431B19479284BC59F262CD7976.edm" hidden="1">#REF!</definedName>
    <definedName name="_bdm.A9C2D2150C6D43ABB78DB5BAEA3474D9.edm" hidden="1">#REF!</definedName>
    <definedName name="_bdm.AA21185748A04CDB9F8733A1DC2D0BD3.edm" hidden="1">#REF!</definedName>
    <definedName name="_bdm.AA512998B58F4AB2B5282F4D6619B990.edm" hidden="1">#REF!</definedName>
    <definedName name="_bdm.AA9DE5BD36814B1583EBCEDF39F5662C.edm" hidden="1">#REF!</definedName>
    <definedName name="_bdm.AAE90FC30BFF411D924A45D99E999715.edm" hidden="1">#REF!</definedName>
    <definedName name="_bdm.AB2104A94C7C48909EF379EEC699DB0F.edm" hidden="1">#REF!</definedName>
    <definedName name="_bdm.AB437FD341AD41BE8780FD21E6D21915.edm" hidden="1">#REF!</definedName>
    <definedName name="_bdm.ABA6725B26D74D76B42A274F09140345.edm" hidden="1">#REF!</definedName>
    <definedName name="_bdm.ABE7FA7F61C543F19CB33EEAA7FF3BDA.edm" hidden="1">#REF!</definedName>
    <definedName name="_bdm.AC0CD7931FA641D08094AC99CB8A7CBB.edm" hidden="1">#REF!</definedName>
    <definedName name="_bdm.ACAADCD4EE6B462C8AD96C4CF5F41568.edm" hidden="1">#REF!</definedName>
    <definedName name="_bdm.ACE2B2982A624F40B93BF7DEA7D7953A.edm" hidden="1">#REF!</definedName>
    <definedName name="_bdm.ACFBF56D2368498B8A05F0F048968777.edm" hidden="1">#REF!</definedName>
    <definedName name="_bdm.AD04ECEB8051488DB147C9A834D5F18B.edm" hidden="1">#REF!</definedName>
    <definedName name="_bdm.AD167BA04F6D4166BDF5A7CE219816A4.edm" hidden="1">#REF!</definedName>
    <definedName name="_bdm.AD3A272F53B04846A51363E488CCFF48.edm" hidden="1">#REF!</definedName>
    <definedName name="_bdm.AD671641271E4A339DE71A82D54046A6.edm" hidden="1">#REF!</definedName>
    <definedName name="_bdm.ADBFDABB912C4506A846C1D896CAC74B.edm" hidden="1">#REF!</definedName>
    <definedName name="_bdm.AE5A184C5A5C45EC9BC3C4DD94BAE0DF.edm" hidden="1">#REF!</definedName>
    <definedName name="_bdm.AEC6EEE0DC7243068768621FCA46C393.edm" hidden="1">#REF!</definedName>
    <definedName name="_bdm.AEEB6950C969471D8A4D5C3C00831A81.edm" hidden="1">#REF!</definedName>
    <definedName name="_bdm.AF4BC401E63543628D12CFA9B1B3B0B3.edm" hidden="1">#REF!</definedName>
    <definedName name="_bdm.AF773558D3EC481A96F8F48875B36A88.edm" hidden="1">#REF!</definedName>
    <definedName name="_bdm.AFE40003CDB74C6F933809DAFF9E12EE.edm" hidden="1">#REF!</definedName>
    <definedName name="_bdm.B00F382B118B44C781A8702DFE72B522.edm" hidden="1">#REF!</definedName>
    <definedName name="_bdm.B0491F59C19A47EFBDAEF1B2DF3F9358.edm" hidden="1">#REF!</definedName>
    <definedName name="_bdm.B186E15AA61247E49B998A281EB54A51.edm" hidden="1">#REF!</definedName>
    <definedName name="_bdm.B1FE457C9E13446289D175A600249C6A.edm" hidden="1">#REF!</definedName>
    <definedName name="_bdm.B2E28CB047D942F587CA1DE011255278.edm" hidden="1">#REF!</definedName>
    <definedName name="_bdm.B2EEA3FEF9EF460F9646D5046F51BA6B.edm" hidden="1">#REF!</definedName>
    <definedName name="_bdm.B319CF7251214B1D9FBE27CB0A4C8EFD.edm" hidden="1">#REF!</definedName>
    <definedName name="_bdm.B32C27066B474B7093CA312E4410C870.edm" hidden="1">#REF!</definedName>
    <definedName name="_bdm.B3B9E42BB888499897B24C1353B83652.edm" hidden="1">#REF!</definedName>
    <definedName name="_bdm.B3E164EC4CF84C70868E58344F800852.edm" hidden="1">#REF!</definedName>
    <definedName name="_bdm.B4367CE3B149429698EFDB6B3E697924.edm" hidden="1">#REF!</definedName>
    <definedName name="_bdm.B44B1986CC8E4141AF91DC102D3DDCEC.edm" hidden="1">#REF!</definedName>
    <definedName name="_bdm.B5637F213E89450389A6B13F1DB2F883.edm" hidden="1">#REF!</definedName>
    <definedName name="_bdm.B5E1CE290D664EC9908CE120B7DDB7AD.edm" hidden="1">#REF!</definedName>
    <definedName name="_bdm.B640BD708AC54F2A8012AFEF643F0DF5.edm" hidden="1">#REF!</definedName>
    <definedName name="_bdm.B6E18FABEEAA4F3687188E5151A33601.edm" hidden="1">#REF!</definedName>
    <definedName name="_bdm.B7E7CCEAEEC1407DB07FB1B3F29B6539.edm" hidden="1">#REF!</definedName>
    <definedName name="_bdm.B84C8B58F394471EA0F38A927AA12152.edm" hidden="1">#REF!</definedName>
    <definedName name="_bdm.B8FCDE0827E846458FD1BAFA5F07AAE3.edm" hidden="1">#REF!</definedName>
    <definedName name="_bdm.B9F0B03BF7A4481FA4BDC46EC9E8AE3A.edm" hidden="1">#REF!</definedName>
    <definedName name="_bdm.BA1AD8CD31EB4332A5896B9E976942F8.edm" hidden="1">#REF!</definedName>
    <definedName name="_bdm.BA2B37961AEB4CBF96BEAEFDE0AB5BEB.edm" hidden="1">#REF!</definedName>
    <definedName name="_bdm.BA72FBDCADB7430D825FE5AA39FF5521.edm" hidden="1">#REF!</definedName>
    <definedName name="_bdm.BAA99E2C9E71431F81ECB374BBEB2669.edm" hidden="1">#REF!</definedName>
    <definedName name="_bdm.BB48B0ABCD3841F4BEA47B21CB4A13EA.edm" hidden="1">#REF!</definedName>
    <definedName name="_bdm.BBA0F71317E4445496F1CFA3CFF934F1.edm" hidden="1">#REF!</definedName>
    <definedName name="_bdm.BBB94E6AE324446F963E4D23B6792A6B.edm" hidden="1">#REF!</definedName>
    <definedName name="_bdm.BBC79FB951B3402E89A8565AF8F473D0.edm" hidden="1">#REF!</definedName>
    <definedName name="_bdm.BCA7CDCDA1FB4B76BF3755179C2D0200.edm" hidden="1">#REF!</definedName>
    <definedName name="_bdm.BCBCB26DDFF54242A4A1EE520BF6D642.edm" hidden="1">#REF!</definedName>
    <definedName name="_bdm.BD671ABE21AE41E69FCC3160F21C1B2C.edm" hidden="1">#REF!</definedName>
    <definedName name="_bdm.BE1138ED4F2C4D458D42DB1603A7BEBC.edm" hidden="1">#REF!</definedName>
    <definedName name="_bdm.BE282BA3A6F0474C94E14CB1B115B67C.edm" hidden="1">#REF!</definedName>
    <definedName name="_bdm.BE63D3E3221C42CEBFF4A6C439F4B8A3.edm" hidden="1">#REF!</definedName>
    <definedName name="_bdm.BF23AC3284A744F8AA5B7D819361DF42.edm" hidden="1">#REF!</definedName>
    <definedName name="_bdm.BF4F9C20D67546B7AEC95ECB28BAFA61.edm" hidden="1">#REF!</definedName>
    <definedName name="_bdm.BF70D2BAD4CA4614B58C0D1A0CBA0DC2.edm" hidden="1">#REF!</definedName>
    <definedName name="_bdm.C0CA9FF7E3D746D6A6EB54F72E8CB42F.edm" hidden="1">#REF!</definedName>
    <definedName name="_bdm.C17A1B12D43F41EA9736D9062F460D1D.edm" hidden="1">#REF!</definedName>
    <definedName name="_bdm.C246F864F34A439BA004DE75AC3059B4.edm" hidden="1">#REF!</definedName>
    <definedName name="_bdm.C2685D1674254F52A6C03918BF14BB86.edm" hidden="1">#REF!</definedName>
    <definedName name="_bdm.C2B1479279C14F60AC08799ED8A8E24D.edm" hidden="1">#REF!</definedName>
    <definedName name="_bdm.C451E26BD32B4E55B4C9248448F65317.edm" hidden="1">#REF!</definedName>
    <definedName name="_bdm.C4B2551D6C6F465DA803C0AA4EB906B7.edm" hidden="1">#REF!</definedName>
    <definedName name="_bdm.C4B8A19F638C4FB4B42469E2C0B3A80E.edm" hidden="1">#REF!</definedName>
    <definedName name="_bdm.C4BA23DA5A6A405E95FCE2522A2230D1.edm" hidden="1">#REF!</definedName>
    <definedName name="_bdm.C4D687EEE62440E18DD4EAED347459BE.edm" hidden="1">#REF!</definedName>
    <definedName name="_bdm.C4FA8A7833404D19B717C9730C06DFB5.edm" hidden="1">#REF!</definedName>
    <definedName name="_bdm.C5019477A1CF488D88A1FA4ACCD41639.edm" hidden="1">#REF!</definedName>
    <definedName name="_bdm.C50EE2BE6B35410AB901B6599395C07B.edm" hidden="1">#REF!</definedName>
    <definedName name="_bdm.C517AEF7065F49199FEA41484049063A.edm" hidden="1">#REF!</definedName>
    <definedName name="_bdm.C5EDB231EACF4933A91709BEAB7F261C.edm" hidden="1">#REF!</definedName>
    <definedName name="_bdm.C61BC3CF5C1842AFB0E667CD3F300D2F.edm" hidden="1">#REF!</definedName>
    <definedName name="_bdm.C62CA4D9D8444FC18A277D9EF9117F9B.edm" hidden="1">#REF!</definedName>
    <definedName name="_bdm.C66F84B024D94A118BE04BF26B85FB8C.edm" hidden="1">#REF!</definedName>
    <definedName name="_bdm.C66F96F37BDA4823ACDDB9EB87F2949B.edm" hidden="1">#REF!</definedName>
    <definedName name="_bdm.C6A8A74D7F254B658B6723C8F8056B73.edm" hidden="1">#REF!</definedName>
    <definedName name="_bdm.C6C0E51DB54E45CDBA8D876EC73D7DFA.edm" hidden="1">#REF!</definedName>
    <definedName name="_bdm.C6D132461F934440B9092B92149D0296.edm" hidden="1">#REF!</definedName>
    <definedName name="_bdm.C736BA94FE6A425383F7B397EBFA85E0.edm" hidden="1">#REF!</definedName>
    <definedName name="_bdm.C7FFDC33F75840C0AE6DD72DCF9FC70B.edm" hidden="1">#REF!</definedName>
    <definedName name="_bdm.C84C638F9F184B509A5C9B840265F04D.edm" hidden="1">#REF!</definedName>
    <definedName name="_bdm.C898044C281F4002B657876EEEF54A94.edm" hidden="1">#REF!</definedName>
    <definedName name="_bdm.C90D6F8F48D94D2BA116E642512C49F1.edm" hidden="1">#REF!</definedName>
    <definedName name="_bdm.C921ECD3503E49C58CD25F4EF785790F.edm" hidden="1">#REF!</definedName>
    <definedName name="_bdm.C97AF6A9DBCA4918821A9F1E08AAE514.edm" hidden="1">#REF!</definedName>
    <definedName name="_bdm.CA047117194841CC8B0A51606BC113CC.edm" hidden="1">#REF!</definedName>
    <definedName name="_bdm.CA5B976B916D43058A7A99B567F50573.edm" hidden="1">#REF!</definedName>
    <definedName name="_bdm.CA6B13128BBB43BBB82BC6F4304CB568.edm" hidden="1">#REF!</definedName>
    <definedName name="_bdm.CAD1CD2B5E1E474BB1AAF6E3D308580D.edm" hidden="1">#REF!</definedName>
    <definedName name="_bdm.CAD3722A1B024B36A5F48BBB531E8BAC.edm" hidden="1">#REF!</definedName>
    <definedName name="_bdm.CC4B1B78616E4AC5B0C3EA8852AB3482.edm" hidden="1">#REF!</definedName>
    <definedName name="_bdm.CC4B7522B2C346A4B24BB90CEC9BE156.edm" hidden="1">#REF!</definedName>
    <definedName name="_bdm.CC4EED0E69894811808F3CEC927B750A.edm" hidden="1">#REF!</definedName>
    <definedName name="_bdm.CC5569745AE54D32A07DC342ADBF3038.edm" hidden="1">#REF!</definedName>
    <definedName name="_bdm.CCC109E1FEF54FE283F960D682C3FF99.edm" hidden="1">#REF!</definedName>
    <definedName name="_bdm.CCD7E4EFF54E4A20BF2027CDB6FBCE63.edm" hidden="1">#REF!</definedName>
    <definedName name="_bdm.CCF645B21C6A4B79962E4B4F54BDDC44.edm" hidden="1">#REF!</definedName>
    <definedName name="_bdm.CCFDB9C68A8145FD931F612B94349182.edm" hidden="1">#REF!</definedName>
    <definedName name="_bdm.CD6A3CC16F094EFD8C487C6852B80310.edm" hidden="1">#REF!</definedName>
    <definedName name="_bdm.CDF7AB9AC53C4BDF84083A07311732D5.edm" hidden="1">#REF!</definedName>
    <definedName name="_bdm.CEF31321F0E04B84823CA57428B820F8.edm" hidden="1">#REF!</definedName>
    <definedName name="_bdm.CF13E457D517439E8DFA165C08086F62.edm" hidden="1">#REF!</definedName>
    <definedName name="_bdm.CF8A666DFC1044A88AF52A80E34D1B57.edm" hidden="1">#REF!</definedName>
    <definedName name="_bdm.CFBA2FDDFB324C24B63D48B4354603D2.edm" hidden="1">#REF!</definedName>
    <definedName name="_bdm.CFBDF5A60D4F45978B624A4FDBDBD150.edm" hidden="1">#REF!</definedName>
    <definedName name="_bdm.CFC68A61017B42D68FAA62D2DAF7A122.edm" hidden="1">#REF!</definedName>
    <definedName name="_bdm.CFD83350EFA74CE7BC4A97BA0581DF0E.edm" hidden="1">#REF!</definedName>
    <definedName name="_bdm.D006BEACAD3549478E340D7CF196196C.edm" hidden="1">#REF!</definedName>
    <definedName name="_bdm.D23F9A3C37EB4DC1B5C216A2067B790B.edm" hidden="1">#REF!</definedName>
    <definedName name="_bdm.D30261DB9B9D469E8E9E2C039F0CB884.edm" hidden="1">#REF!</definedName>
    <definedName name="_bdm.D3DF20B4FFBA4E708CE95274035E527B.edm" hidden="1">#REF!</definedName>
    <definedName name="_bdm.D402BBBB39A64C1BB3A4A09CC5C83A2B.edm" hidden="1">#REF!</definedName>
    <definedName name="_bdm.D44F79CDD0744D13B15916B361363313.edm" hidden="1">#REF!</definedName>
    <definedName name="_bdm.D456FF9BE78248F0B3652125379A3E97.edm" hidden="1">#REF!</definedName>
    <definedName name="_bdm.D5EDF818421F412FA7B7D269FDAE29BF.edm" hidden="1">#REF!</definedName>
    <definedName name="_bdm.D620A42770B34055BA37BCD0A54B7272.edm" hidden="1">#REF!</definedName>
    <definedName name="_bdm.D65CA1A576C143CCAD2F28E1CE17B0F9.edm" hidden="1">#REF!</definedName>
    <definedName name="_bdm.D6A3CB1FC66E4606946A2BF10733345C.edm" hidden="1">#REF!</definedName>
    <definedName name="_bdm.D6ECEA1865F44233A4D80AD58389D486.edm" hidden="1">#REF!</definedName>
    <definedName name="_bdm.D6F5CF6F8045429480DDCE6E0FB4CF8A.edm" hidden="1">#REF!</definedName>
    <definedName name="_bdm.D6FF3F82465340118C8807B0D6AB7EB9.edm" hidden="1">#REF!</definedName>
    <definedName name="_bdm.D7866A487AB444C493DF0B61870C6870.edm" hidden="1">#REF!</definedName>
    <definedName name="_bdm.D7A6E81E3BD045F59FDA267BC03A3C62.edm" hidden="1">#REF!</definedName>
    <definedName name="_bdm.D7C604F7DF48472681BCA51C7EF0181F.edm" hidden="1">#REF!</definedName>
    <definedName name="_bdm.D7EE71CFFFDA4800AC1B0210099E6013.edm" hidden="1">#REF!</definedName>
    <definedName name="_bdm.D7FD1A1D6B02457884052077142D2833.edm" hidden="1">#REF!</definedName>
    <definedName name="_bdm.D85005FBABAF43E38B4127B99F43F01A.edm" hidden="1">#REF!</definedName>
    <definedName name="_bdm.D89292667E4E49D887129C36B713FE3F.edm" hidden="1">#REF!</definedName>
    <definedName name="_bdm.D8E9C2FC2FB145D8BB8DC6DAAB93D7D5.edm" hidden="1">#REF!</definedName>
    <definedName name="_bdm.D8FD12FED03A4CC38CCE98769BDE229B.edm" hidden="1">#REF!</definedName>
    <definedName name="_bdm.D9037BEC4D0F42FD85D3D54A8BE0B2D3.edm" hidden="1">#REF!</definedName>
    <definedName name="_bdm.D93F073A2895443AA768981F1D53F91C.edm" hidden="1">#REF!</definedName>
    <definedName name="_bdm.D997B1CBEED44634B81E7AC27993CD1D.edm" hidden="1">#REF!</definedName>
    <definedName name="_bdm.DA0279DB137B4D3DB9D83C14549827DC.edm" hidden="1">#REF!</definedName>
    <definedName name="_bdm.DA070A89BAE64CF1B0C5A3FB7DABBD03.edm" hidden="1">#REF!</definedName>
    <definedName name="_bdm.DA699DE5A4D54F978BA58FC7D59D518B.edm" hidden="1">#REF!</definedName>
    <definedName name="_bdm.DA6C8EBCD7094EC1B3EE8042CCB87AF0.edm" hidden="1">#REF!</definedName>
    <definedName name="_bdm.DA82E447315A4256B98A526FF31ED571.edm" hidden="1">#REF!</definedName>
    <definedName name="_bdm.DB515349EA024DAD9C7F190FBAD9F8F2.edm" hidden="1">#REF!</definedName>
    <definedName name="_bdm.DB605B37F9B841669618E7C663239E8A.edm" hidden="1">#REF!</definedName>
    <definedName name="_bdm.DC0C3FE917904FD9A92D78991E455913.edm" hidden="1">#REF!</definedName>
    <definedName name="_bdm.DC26CD57A3D34C338B71B657C42D8090.edm" hidden="1">#REF!</definedName>
    <definedName name="_bdm.DC59E11096EA46E583147B64C93DB116.edm" hidden="1">#REF!</definedName>
    <definedName name="_bdm.DD4CEF1475B542088E5F9B0E40CCF03E.edm" hidden="1">#REF!</definedName>
    <definedName name="_bdm.DD52DCB307C84D6E9034CFAAB23A099E.edm" hidden="1">#REF!</definedName>
    <definedName name="_bdm.DD9308C2432F4DD985296D43E6979E76.edm" hidden="1">#REF!</definedName>
    <definedName name="_bdm.DE13A75BEF444FEB8CCAD1287D93FC39.edm" hidden="1">#REF!</definedName>
    <definedName name="_bdm.DE1AA6A1D9504424880C27B03093A577.edm" hidden="1">#REF!</definedName>
    <definedName name="_bdm.DF19657101414A65AC4A762CCCABE8F2.edm" hidden="1">#REF!</definedName>
    <definedName name="_bdm.DF7F994A275C4F329C8B995BADA9D46D.edm" hidden="1">#REF!</definedName>
    <definedName name="_bdm.E02682C552034E10BC26E2455D758CA2.edm" hidden="1">#REF!</definedName>
    <definedName name="_bdm.E06E1EABA64347E7BDF311484EDDCCAC.edm" hidden="1">#REF!</definedName>
    <definedName name="_bdm.E07F66F2708C4E4F9D84B24710D93759.edm" hidden="1">#REF!</definedName>
    <definedName name="_bdm.E08AF7EDF6F1450CBCEDAFE6F731DE8E.edm" hidden="1">#REF!</definedName>
    <definedName name="_bdm.E0A044CDFAB14C31909AD34032FFC27A.edm" hidden="1">#REF!</definedName>
    <definedName name="_bdm.E1A69C89EBB24F4D952BDB6180BBA079.edm" hidden="1">#REF!</definedName>
    <definedName name="_bdm.E1B6D4D710C9401EB26CB88E43E75145.edm" hidden="1">#REF!</definedName>
    <definedName name="_bdm.E1CF26BB2A1C430BAE06A5159699351E.edm" hidden="1">#REF!</definedName>
    <definedName name="_bdm.E24FA0B24E994683B5D26B4D4B1C6E39.edm" hidden="1">#REF!</definedName>
    <definedName name="_bdm.E2A96AE50A2A49259525A46CA8864386.edm" hidden="1">#REF!</definedName>
    <definedName name="_bdm.E326C7C456054B8F8E7EAEE87610550D.edm" hidden="1">#REF!</definedName>
    <definedName name="_bdm.E36E26882F91437680892DE030C0E4D4.edm" hidden="1">#REF!</definedName>
    <definedName name="_bdm.E448600BC4334569B5B327F8708B6269.edm" hidden="1">#REF!</definedName>
    <definedName name="_bdm.E48963CE086E4DBFB0EAB5F7C6149D69.edm" hidden="1">#REF!</definedName>
    <definedName name="_bdm.E50C0F3ADF93438E9CF42B06323499F2.edm" hidden="1">#REF!</definedName>
    <definedName name="_bdm.E56D4D84D8AD4936B4FC36CB68CF6F1A.edm" hidden="1">#REF!</definedName>
    <definedName name="_bdm.E72208BA69664A8986D206FDDC062899.edm" hidden="1">#REF!</definedName>
    <definedName name="_bdm.E7CCD401C1634B1E8FCBC54F95EF640F.edm" hidden="1">#REF!</definedName>
    <definedName name="_bdm.E806DE6236794E3BB0F3F93E079DE7B8.edm" hidden="1">#REF!</definedName>
    <definedName name="_bdm.E88EB71D19574FE8A9DF43F9F1515E70.edm" hidden="1">#REF!</definedName>
    <definedName name="_bdm.E8C6EC4862D34640807B7E82D7E4D1BA.edm" hidden="1">#REF!</definedName>
    <definedName name="_bdm.E8E58C051C154EADA9D3BA736C1E3DB6.edm" hidden="1">#REF!</definedName>
    <definedName name="_bdm.E9059C077C5E4681BEE729300697B096.edm" hidden="1">#REF!</definedName>
    <definedName name="_bdm.E938916791E740938BC6B813D9DCBFE1.edm" hidden="1">#REF!</definedName>
    <definedName name="_bdm.E96938A6B0804495953E5C48CBEE0337.edm" hidden="1">#REF!</definedName>
    <definedName name="_bdm.E96DA16933A44F4FA04E8DC0350CF178.edm" hidden="1">#REF!</definedName>
    <definedName name="_bdm.E9A47572DB1B43258D356C80A69476E6.edm" hidden="1">#REF!</definedName>
    <definedName name="_bdm.EA54C2BE573B4BA2B5A12D838FF0E07F.edm" hidden="1">#REF!</definedName>
    <definedName name="_bdm.EB09355A2C904C768EF053E68D44558C.edm" hidden="1">#REF!</definedName>
    <definedName name="_bdm.EBB0643AE1BF491287D8D3276F1E0F45.edm" hidden="1">#REF!</definedName>
    <definedName name="_bdm.EBC9C4E0F6244A4892D91C8E25ECB064.edm" hidden="1">#REF!</definedName>
    <definedName name="_bdm.EC2EEDE4E152460F80F9D587A5A4A1A3.edm" hidden="1">#REF!</definedName>
    <definedName name="_bdm.ECA3EEF5A32B48259C38B458C8020119.edm" hidden="1">#REF!</definedName>
    <definedName name="_bdm.ECA4FCC1175149579C964E9BFBA0946F.edm" hidden="1">#REF!</definedName>
    <definedName name="_bdm.ECCEEA5CE6234DB7BBDAA4EB9ECC9B8D.edm" hidden="1">#REF!</definedName>
    <definedName name="_bdm.ED384B7EF5F941F6ADF4883A79A8F240.edm" hidden="1">#REF!</definedName>
    <definedName name="_bdm.ED5C45D4EBCF42AAA574E7F83783DB16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AA6E573A424E7AA85A8951C7BD90F3.edm" hidden="1">#REF!</definedName>
    <definedName name="_bdm.EDE003932B2A4243B4617B73EAE9072F.edm" hidden="1">#REF!</definedName>
    <definedName name="_bdm.EE0FB59DB0B249099918E2675FA629EC.edm" hidden="1">#REF!</definedName>
    <definedName name="_bdm.EE1AB5A3D86347C0A290ED8D5279A149.edm" hidden="1">#REF!</definedName>
    <definedName name="_bdm.EF04E9344B5F4A0B814AADBD0AD95363.edm" hidden="1">#REF!</definedName>
    <definedName name="_bdm.EF6388B9E1E340FBAAE7B551224BB7C2.edm" hidden="1">#REF!</definedName>
    <definedName name="_bdm.EF7FD2C37D354A8FAB6759BD2F5F82E1.edm" hidden="1">#REF!</definedName>
    <definedName name="_bdm.EFA438EEAFC944EE953FA007B5D4E70E.edm" hidden="1">#REF!</definedName>
    <definedName name="_bdm.EFEE59572EB94C23B609CC461DA22CFD.edm" hidden="1">#REF!</definedName>
    <definedName name="_bdm.F036D26E6177415F8BD10517B5DF651E.edm" hidden="1">#REF!</definedName>
    <definedName name="_bdm.F1744959FC5548309F0EB5D120934E20.edm" hidden="1">#REF!</definedName>
    <definedName name="_bdm.F1848CF655A24B649FB4BA7E6F72B24D.edm" hidden="1">#REF!</definedName>
    <definedName name="_bdm.F1CC71DB0ABD45E79622486C7591ECBF.edm" hidden="1">#REF!</definedName>
    <definedName name="_bdm.F1D7E692C9D8469A95086EBF5F62D81F.edm" hidden="1">#REF!</definedName>
    <definedName name="_bdm.F294C88CBA2B4D4C873BCBF4EB91770E.edm" hidden="1">#REF!</definedName>
    <definedName name="_bdm.F2B1E84DC3834F7783FA019858940BCF.edm" hidden="1">#REF!</definedName>
    <definedName name="_bdm.F2EE18F877BA42F98FBE50FD09D9EA8B.edm" hidden="1">#REF!</definedName>
    <definedName name="_bdm.F2FE0B02BDFB410397012F545D9B3195.edm" hidden="1">#REF!</definedName>
    <definedName name="_bdm.F33BD566F8114135BDAF818B7D8BF681.edm" hidden="1">#REF!</definedName>
    <definedName name="_bdm.F351F5D7D9324A4DB7FEA1670EB66B18.edm" hidden="1">#REF!</definedName>
    <definedName name="_bdm.F3BEE2302B004211B7C7E8153EB0A2B1.edm" hidden="1">#REF!</definedName>
    <definedName name="_bdm.F42E56FC17E8467A93EC55C44239F199.edm" hidden="1">#REF!</definedName>
    <definedName name="_bdm.F430BBE2762F4BB9B170E3D65FBB2A62.edm" hidden="1">#REF!</definedName>
    <definedName name="_bdm.F4659FE545064B0F8DE74FC1D27B3C6A.edm" hidden="1">#REF!</definedName>
    <definedName name="_bdm.F4BAA608324149CDBA81AD9250AD0847.edm" hidden="1">#REF!</definedName>
    <definedName name="_bdm.F5013502BB33475987B52B0E58F635C8.edm" hidden="1">#REF!</definedName>
    <definedName name="_bdm.F5045487FB0D40F0AA63E61843CC01D0.edm" hidden="1">#REF!</definedName>
    <definedName name="_bdm.F52D112DB8DF469F890973278C701DD1.edm" hidden="1">#REF!</definedName>
    <definedName name="_bdm.F5319BFF103349408B024F91A2FE4FF3.edm" hidden="1">#REF!</definedName>
    <definedName name="_bdm.F58EC808EF7B4C3884BAA1DBFEEE81F5.edm" hidden="1">#REF!</definedName>
    <definedName name="_bdm.F5BD3F89F686430F9C7FCC491731F713.edm" hidden="1">#REF!</definedName>
    <definedName name="_bdm.F5D2E35AAEBD432DB25543ABA8C05ADF.edm" hidden="1">#REF!</definedName>
    <definedName name="_bdm.F5D98B4808264048934A0E8CCABAE730.edm" hidden="1">#REF!</definedName>
    <definedName name="_bdm.F5DA86D929E94E7FA9933D09010782AD.edm" hidden="1">#REF!</definedName>
    <definedName name="_bdm.F5EF5999F67B47A3BAE3E4C1512193BB.edm" hidden="1">#REF!</definedName>
    <definedName name="_bdm.F64CB665E2C84812809D1AB1CD8402E1.edm" hidden="1">#REF!</definedName>
    <definedName name="_bdm.F65C318B3ACD4FC2BF9DCDC1BF7BACDD.edm" hidden="1">#REF!</definedName>
    <definedName name="_bdm.F66A04DA60C44DD8979ED7578F4F57FB.edm" hidden="1">#REF!</definedName>
    <definedName name="_bdm.F69FBDB7BCA94DF0A522DE00D0BB7ED9.edm" hidden="1">#REF!</definedName>
    <definedName name="_bdm.F982B25943F2477A8C5790E92BCD6090.edm" hidden="1">#REF!</definedName>
    <definedName name="_bdm.F993FD537A0C449EB07469B92DB18862.edm" hidden="1">#REF!</definedName>
    <definedName name="_bdm.F99B721AE10B4ED0AA0638B7E947753A.edm" hidden="1">#REF!</definedName>
    <definedName name="_bdm.FA0D2420B54446BF9F95D74B573D4FA2.edm" hidden="1">#REF!</definedName>
    <definedName name="_bdm.FA71987509654501A8D46F5AEFDBECE3.edm" hidden="1">#REF!</definedName>
    <definedName name="_bdm.FA7CC8CA4D8543AB893BA9BC2C406F83.edm" hidden="1">#REF!</definedName>
    <definedName name="_bdm.FA91808AD7BA40B2BB607626DA0D0D9C.edm" hidden="1">#REF!</definedName>
    <definedName name="_bdm.FAD14CB09F1E4F31AD6E0A84E17780BA.edm" hidden="1">#REF!</definedName>
    <definedName name="_bdm.FB460E7A53574E848539B0AE0D486781.edm" hidden="1">#REF!</definedName>
    <definedName name="_bdm.FB499753DDA547AE90916D3EDDC51483.edm" hidden="1">#REF!</definedName>
    <definedName name="_bdm.FB4E541707C3446B9033690CB71202D7.edm" hidden="1">#REF!</definedName>
    <definedName name="_bdm.FBB2FA84F8594108BA62138DAE9D6BC5.edm" hidden="1">#REF!</definedName>
    <definedName name="_bdm.FBEBF4472BDE405BAC70A63528378930.edm" hidden="1">#REF!</definedName>
    <definedName name="_bdm.FC2E308D536A460090AB075542B0147E.edm" hidden="1">#REF!</definedName>
    <definedName name="_bdm.FC34E14637F24EF5851D53F292CE4E08.edm" hidden="1">#REF!</definedName>
    <definedName name="_bdm.FD02F0C635674FA685DB360E66D4CA9B.edm" hidden="1">#REF!</definedName>
    <definedName name="_bdm.FD21D33D61A945FC9D97BDC6AD8F27FB.edm" hidden="1">#REF!</definedName>
    <definedName name="_bdm.FD58682133A24EB78B22B8A32FC6B687.edm" hidden="1">#REF!</definedName>
    <definedName name="_bdm.FECF881F1117400CA18091261E8714CB.edm" hidden="1">#REF!</definedName>
    <definedName name="_bdm.FF6B074467C04129814BF925EE1C0C9B.edm" hidden="1">#REF!</definedName>
    <definedName name="_bdm.FFC49A7257ED4CDB912F4007E5A220FB.edm" hidden="1">#REF!</definedName>
    <definedName name="_bdm.ToolkitBookmark.12_15_2006_2_55_14_PM.edm" hidden="1">#REF!</definedName>
    <definedName name="_bs4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s4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S5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S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UG1" localSheetId="0" hidden="1">{#N/A,#N/A,FALSE,"PAGE21";#N/A,#N/A,FALSE,"Page22à25";#N/A,#N/A,FALSE,"Page26";#N/A,#N/A,FALSE,"Page27";#N/A,#N/A,FALSE,"Page28";#N/A,#N/A,FALSE,"Page29";#N/A,#N/A,FALSE,"Page30"}</definedName>
    <definedName name="_BUG1" hidden="1">{#N/A,#N/A,FALSE,"PAGE21";#N/A,#N/A,FALSE,"Page22à25";#N/A,#N/A,FALSE,"Page26";#N/A,#N/A,FALSE,"Page27";#N/A,#N/A,FALSE,"Page28";#N/A,#N/A,FALSE,"Page29";#N/A,#N/A,FALSE,"Page30"}</definedName>
    <definedName name="_BUG2" localSheetId="0" hidden="1">{#N/A,#N/A,FALSE,"PAGE31";#N/A,#N/A,FALSE,"Page32à34";#N/A,#N/A,FALSE,"PAGE35";#N/A,#N/A,FALSE,"POUCPG97"}</definedName>
    <definedName name="_BUG2" hidden="1">{#N/A,#N/A,FALSE,"PAGE31";#N/A,#N/A,FALSE,"Page32à34";#N/A,#N/A,FALSE,"PAGE35";#N/A,#N/A,FALSE,"POUCPG97"}</definedName>
    <definedName name="_BUG3" localSheetId="0" hidden="1">{#N/A,#N/A,FALSE,"PAGE14";#N/A,#N/A,FALSE,"Page15";#N/A,#N/A,FALSE,"Page16";#N/A,#N/A,FALSE,"Page17";#N/A,#N/A,FALSE,"Page18";#N/A,#N/A,FALSE,"Page19";#N/A,#N/A,FALSE,"Page20"}</definedName>
    <definedName name="_BUG3" hidden="1">{#N/A,#N/A,FALSE,"PAGE14";#N/A,#N/A,FALSE,"Page15";#N/A,#N/A,FALSE,"Page16";#N/A,#N/A,FALSE,"Page17";#N/A,#N/A,FALSE,"Page18";#N/A,#N/A,FALSE,"Page19";#N/A,#N/A,FALSE,"Page20"}</definedName>
    <definedName name="_BUG33" localSheetId="0" hidden="1">{#N/A,#N/A,FALSE,"PAGE14";#N/A,#N/A,FALSE,"Page15";#N/A,#N/A,FALSE,"Page16";#N/A,#N/A,FALSE,"Page17";#N/A,#N/A,FALSE,"Page18";#N/A,#N/A,FALSE,"Page19";#N/A,#N/A,FALSE,"Page20"}</definedName>
    <definedName name="_BUG33" hidden="1">{#N/A,#N/A,FALSE,"PAGE14";#N/A,#N/A,FALSE,"Page15";#N/A,#N/A,FALSE,"Page16";#N/A,#N/A,FALSE,"Page17";#N/A,#N/A,FALSE,"Page18";#N/A,#N/A,FALSE,"Page19";#N/A,#N/A,FALSE,"Page20"}</definedName>
    <definedName name="_C100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C100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CA03" hidden="1">#REF!</definedName>
    <definedName name="_cc2" localSheetId="0" hidden="1">{"bs",#N/A,FALSE,"SCF"}</definedName>
    <definedName name="_cc2" hidden="1">{"bs",#N/A,FALSE,"SCF"}</definedName>
    <definedName name="_cf2" localSheetId="0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OO2" localSheetId="0" hidden="1">{#N/A,#N/A,FALSE,"Matrix";#N/A,#N/A,FALSE,"Cash Flow";#N/A,#N/A,FALSE,"10 Year Cost Analysis"}</definedName>
    <definedName name="_COO2" hidden="1">{#N/A,#N/A,FALSE,"Matrix";#N/A,#N/A,FALSE,"Cash Flow";#N/A,#N/A,FALSE,"10 Year Cost Analysis"}</definedName>
    <definedName name="_d1" localSheetId="0" hidden="1">{"'Model'!$A$1:$N$53"}</definedName>
    <definedName name="_d1" hidden="1">{"'Model'!$A$1:$N$53"}</definedName>
    <definedName name="_D100" localSheetId="0" hidden="1">{#N/A,#N/A,FALSE,"TAXC.INDEX";#N/A,#N/A,FALSE,"Schedule I";#N/A,#N/A,FALSE,"Schedule  II";#N/A,#N/A,FALSE,"Schedule III"}</definedName>
    <definedName name="_D100" hidden="1">{#N/A,#N/A,FALSE,"TAXC.INDEX";#N/A,#N/A,FALSE,"Schedule I";#N/A,#N/A,FALSE,"Schedule  II";#N/A,#N/A,FALSE,"Schedule III"}</definedName>
    <definedName name="_ddd2" localSheetId="0" hidden="1">{#N/A,#N/A,FALSE,"Cashflow"}</definedName>
    <definedName name="_ddd2" hidden="1">{#N/A,#N/A,FALSE,"Cashflow"}</definedName>
    <definedName name="_df" localSheetId="0" hidden="1">{"ssssss",#N/A,FALSE,"太原"}</definedName>
    <definedName name="_df" hidden="1">{"ssssss",#N/A,FALSE,"太原"}</definedName>
    <definedName name="_df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df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df2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df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DF4" hidden="1">#REF!</definedName>
    <definedName name="_df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jd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e" localSheetId="0" hidden="1">{"ssssss",#N/A,FALSE,"太原"}</definedName>
    <definedName name="_e" hidden="1">{"ssssss",#N/A,FALSE,"太原"}</definedName>
    <definedName name="_E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100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2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200" localSheetId="0" hidden="1">{#N/A,#N/A,FALSE,"TAXC.INDEX";#N/A,#N/A,FALSE,"Schedule I";#N/A,#N/A,FALSE,"Schedule  II";#N/A,#N/A,FALSE,"Schedule III"}</definedName>
    <definedName name="_E200" hidden="1">{#N/A,#N/A,FALSE,"TAXC.INDEX";#N/A,#N/A,FALSE,"Schedule I";#N/A,#N/A,FALSE,"Schedule  II";#N/A,#N/A,FALSE,"Schedule III"}</definedName>
    <definedName name="_E350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ee2" localSheetId="0" hidden="1">{#N/A,#N/A,FALSE,"Cashflow"}</definedName>
    <definedName name="_eee2" hidden="1">{#N/A,#N/A,FALSE,"Cashflow"}</definedName>
    <definedName name="_F2021" localSheetId="0" hidden="1">{#N/A,#N/A,FALSE,"970301";#N/A,#N/A,FALSE,"970302";#N/A,#N/A,FALSE,"970303";#N/A,#N/A,FALSE,"970304";#N/A,#N/A,FALSE,"COM1";#N/A,#N/A,FALSE,"COM2"}</definedName>
    <definedName name="_F2021" hidden="1">{#N/A,#N/A,FALSE,"970301";#N/A,#N/A,FALSE,"970302";#N/A,#N/A,FALSE,"970303";#N/A,#N/A,FALSE,"970304";#N/A,#N/A,FALSE,"COM1";#N/A,#N/A,FALSE,"COM2"}</definedName>
    <definedName name="_F208" localSheetId="0" hidden="1">{"toptrial",#N/A,TRUE,"toptrial";"adjustment",#N/A,TRUE,"toptrial";"voucher",#N/A,TRUE,"toptrial"}</definedName>
    <definedName name="_F208" hidden="1">{"toptrial",#N/A,TRUE,"toptrial";"adjustment",#N/A,TRUE,"toptrial";"voucher",#N/A,TRUE,"toptrial"}</definedName>
    <definedName name="_f5" hidden="1">#REF!</definedName>
    <definedName name="_FA1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FA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fd4" hidden="1">#REF!</definedName>
    <definedName name="_fd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 hidden="1">#REF!</definedName>
    <definedName name="_fILL2" hidden="1">#REF!</definedName>
    <definedName name="_xlnm._FilterDatabase" localSheetId="0" hidden="1">#REF!</definedName>
    <definedName name="_xlnm._FilterDatabase" hidden="1">#REF!</definedName>
    <definedName name="_gf1" localSheetId="0" hidden="1">{"incomemth",#N/A,TRUE,"forecast00";"incomepercentmth",#N/A,TRUE,"forecast00";"balancemth",#N/A,TRUE,"forecast00";"cashmth",#N/A,TRUE,"forecast00";"covenantmth",#N/A,TRUE,"forecast00"}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SRATES_1" localSheetId="0" hidden="1">"CF3000012004072520040602"</definedName>
    <definedName name="_GSRATES_1" hidden="1">"CT30000120000728        "</definedName>
    <definedName name="_GSRATES_2" localSheetId="0" hidden="1">"CT300001Latest          "</definedName>
    <definedName name="_GSRATES_2" hidden="1">"CT30000119990919        "</definedName>
    <definedName name="_GSRATES_3" localSheetId="0" hidden="1">"CF3000012002033120020301"</definedName>
    <definedName name="_GSRATES_3" hidden="1">"CT30000119990928        "</definedName>
    <definedName name="_GSRATES_4" localSheetId="0" hidden="1">"CF3000012003022820030201"</definedName>
    <definedName name="_GSRATES_4" hidden="1">"CT30000119990928        "</definedName>
    <definedName name="_GSRATES_5" localSheetId="0" hidden="1">"CF3000012004033120040301"</definedName>
    <definedName name="_GSRATES_5" hidden="1">"CT30000119990331        "</definedName>
    <definedName name="_GSRATES_6" localSheetId="0" hidden="1">"CT300001Latest          "</definedName>
    <definedName name="_GSRATES_6" hidden="1">"CT30000119990101        "</definedName>
    <definedName name="_GSRATES_7" localSheetId="0" hidden="1">"CT300001Latest          "</definedName>
    <definedName name="_GSRATES_7" hidden="1">"CT30000119980930        "</definedName>
    <definedName name="_GSRATES_8" localSheetId="0" hidden="1">"CT30000120050715        "</definedName>
    <definedName name="_GSRATES_8" hidden="1">"CT30000119980630        "</definedName>
    <definedName name="_GSRATES_9" hidden="1">"CT30000119980331        "</definedName>
    <definedName name="_GSRATES_COUNT" localSheetId="0" hidden="1">8</definedName>
    <definedName name="_GSRATES_COUNT" hidden="1">1</definedName>
    <definedName name="_GSRATESR_1" hidden="1">#REF!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GSRATESR_8" hidden="1">#REF!</definedName>
    <definedName name="_H1" hidden="1">#REF!</definedName>
    <definedName name="_h2" localSheetId="0" hidden="1">{#N/A,#N/A,FALSE,"Virgin Flightdeck"}</definedName>
    <definedName name="_h2" hidden="1">{#N/A,#N/A,FALSE,"Virgin Flightdeck"}</definedName>
    <definedName name="_h3" localSheetId="0" hidden="1">{#N/A,#N/A,FALSE,"Virgin Flightdeck"}</definedName>
    <definedName name="_h3" hidden="1">{#N/A,#N/A,FALSE,"Virgin Flightdeck"}</definedName>
    <definedName name="_ham" hidden="1">#REF!</definedName>
    <definedName name="_I2" localSheetId="0" hidden="1">{"PVGraph2",#N/A,FALSE,"PV Data"}</definedName>
    <definedName name="_I2" hidden="1">{"PVGraph2",#N/A,FALSE,"PV Data"}</definedName>
    <definedName name="_i21" localSheetId="0" hidden="1">{"PVGraph2",#N/A,FALSE,"PV Data"}</definedName>
    <definedName name="_i21" hidden="1">{"PVGraph2",#N/A,FALSE,"PV Data"}</definedName>
    <definedName name="_I22" localSheetId="0" hidden="1">{"PVGraph2",#N/A,FALSE,"PV Data"}</definedName>
    <definedName name="_I22" hidden="1">{"PVGraph2",#N/A,FALSE,"PV Data"}</definedName>
    <definedName name="_i2211" localSheetId="0" hidden="1">{"PVGraph2",#N/A,FALSE,"PV Data"}</definedName>
    <definedName name="_i2211" hidden="1">{"PVGraph2",#N/A,FALSE,"PV Data"}</definedName>
    <definedName name="_i223" localSheetId="0" hidden="1">{"PVGraph2",#N/A,FALSE,"PV Data"}</definedName>
    <definedName name="_i223" hidden="1">{"PVGraph2",#N/A,FALSE,"PV Data"}</definedName>
    <definedName name="_i23" localSheetId="0" hidden="1">{"PVGraph2",#N/A,FALSE,"PV Data"}</definedName>
    <definedName name="_i23" hidden="1">{"PVGraph2",#N/A,FALSE,"PV Data"}</definedName>
    <definedName name="_i2323" localSheetId="0" hidden="1">{"PVGraph2",#N/A,FALSE,"PV Data"}</definedName>
    <definedName name="_i2323" hidden="1">{"PVGraph2",#N/A,FALSE,"PV Data"}</definedName>
    <definedName name="_i24" localSheetId="0" hidden="1">{"PVGraph2",#N/A,FALSE,"PV Data"}</definedName>
    <definedName name="_i24" hidden="1">{"PVGraph2",#N/A,FALSE,"PV Data"}</definedName>
    <definedName name="_I3" localSheetId="0" hidden="1">{"PVGraph2",#N/A,FALSE,"PV Data"}</definedName>
    <definedName name="_i3" hidden="1">{#N/A,#N/A,FALSE,"ACQ_GRAPHS";#N/A,#N/A,FALSE,"T_1 GRAPHS";#N/A,#N/A,FALSE,"T_2 GRAPHS";#N/A,#N/A,FALSE,"COMB_GRAPHS"}</definedName>
    <definedName name="_i4" localSheetId="0" hidden="1">{#N/A,#N/A,FALSE,"ACQ_GRAPHS";#N/A,#N/A,FALSE,"T_1 GRAPHS";#N/A,#N/A,FALSE,"T_2 GRAPHS";#N/A,#N/A,FALSE,"COMB_GRAPHS"}</definedName>
    <definedName name="_i4" hidden="1">{#N/A,#N/A,FALSE,"ACQ_GRAPHS";#N/A,#N/A,FALSE,"T_1 GRAPHS";#N/A,#N/A,FALSE,"T_2 GRAPHS";#N/A,#N/A,FALSE,"COMB_GRAPHS"}</definedName>
    <definedName name="_II2" localSheetId="0" hidden="1">{"PVGraph2",#N/A,FALSE,"PV Data"}</definedName>
    <definedName name="_II2" hidden="1">{"PVGraph2",#N/A,FALSE,"PV Data"}</definedName>
    <definedName name="_IS04" localSheetId="0" hidden="1">{"M1Print",#N/A,FALSE,"M1"}</definedName>
    <definedName name="_IS04" hidden="1">{"M1Print",#N/A,FALSE,"M1"}</definedName>
    <definedName name="_J2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_J2" hidden="1">{#N/A,#N/A,FALSE,"INPUTS";#N/A,#N/A,FALSE,"PROFORMA BSHEET";#N/A,#N/A,FALSE,"COMBINED";#N/A,#N/A,FALSE,"ACQUIROR";#N/A,#N/A,FALSE,"TARGET 1";#N/A,#N/A,FALSE,"TARGET 2";#N/A,#N/A,FALSE,"HIGH YIELD";#N/A,#N/A,FALSE,"OVERFUND"}</definedName>
    <definedName name="_j3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_j3" hidden="1">{#N/A,#N/A,FALSE,"INPUTS";#N/A,#N/A,FALSE,"PROFORMA BSHEET";#N/A,#N/A,FALSE,"COMBINED";#N/A,#N/A,FALSE,"ACQUIROR";#N/A,#N/A,FALSE,"TARGET 1";#N/A,#N/A,FALSE,"TARGET 2";#N/A,#N/A,FALSE,"HIGH YIELD";#N/A,#N/A,FALSE,"OVERFUND"}</definedName>
    <definedName name="_j4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_j4" hidden="1">{#N/A,#N/A,FALSE,"INPUTS";#N/A,#N/A,FALSE,"PROFORMA BSHEET";#N/A,#N/A,FALSE,"COMBINED";#N/A,#N/A,FALSE,"ACQUIROR";#N/A,#N/A,FALSE,"TARGET 1";#N/A,#N/A,FALSE,"TARGET 2";#N/A,#N/A,FALSE,"HIGH YIELD";#N/A,#N/A,FALSE,"OVERFUND"}</definedName>
    <definedName name="_Jul09" localSheetId="0" hidden="1">{#N/A,#N/A,FALSE,"GPM";#N/A,#N/A,FALSE,"CE";#N/A,#N/A,FALSE,"Heat";#N/A,#N/A,FALSE,"ResTm";#N/A,#N/A,FALSE,"BLEND$"}</definedName>
    <definedName name="_Jul09" hidden="1">{#N/A,#N/A,FALSE,"GPM";#N/A,#N/A,FALSE,"CE";#N/A,#N/A,FALSE,"Heat";#N/A,#N/A,FALSE,"ResTm";#N/A,#N/A,FALSE,"BLEND$"}</definedName>
    <definedName name="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k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KE8" hidden="1">#REF!</definedName>
    <definedName name="_Key" hidden="1">#REF!</definedName>
    <definedName name="_key02" hidden="1">#N/A</definedName>
    <definedName name="_Key1" hidden="1">#REF!</definedName>
    <definedName name="_key11" hidden="1">#REF!</definedName>
    <definedName name="_key12" hidden="1">#REF!</definedName>
    <definedName name="_Key122" hidden="1">#N/A</definedName>
    <definedName name="_KEY123" hidden="1">#REF!</definedName>
    <definedName name="_key1a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#REF!</definedName>
    <definedName name="_key8" hidden="1">#REF!</definedName>
    <definedName name="_KEY90" hidden="1">#REF!</definedName>
    <definedName name="_Keya" hidden="1">#N/A</definedName>
    <definedName name="_Keyb" hidden="1">#N/A</definedName>
    <definedName name="_Keyc" hidden="1">#N/A</definedName>
    <definedName name="_Keyd" hidden="1">#N/A</definedName>
    <definedName name="_keyF" hidden="1">#REF!</definedName>
    <definedName name="_KKK001" localSheetId="0" hidden="1">{"JimZhang - Personal View",#N/A,FALSE,"800230"}</definedName>
    <definedName name="_KKK001" hidden="1">{"JimZhang - Personal View",#N/A,FALSE,"800230"}</definedName>
    <definedName name="_KXL2" localSheetId="0" hidden="1">{#N/A,#N/A,FALSE,"Summary";#N/A,#N/A,FALSE,"Month";#N/A,#N/A,FALSE,"YTD";#N/A,#N/A,FALSE,"Charts"}</definedName>
    <definedName name="_KXL2" hidden="1">{#N/A,#N/A,FALSE,"Summary";#N/A,#N/A,FALSE,"Month";#N/A,#N/A,FALSE,"YTD";#N/A,#N/A,FALSE,"Charts"}</definedName>
    <definedName name="_LF12" hidden="1">#REF!</definedName>
    <definedName name="_m7" hidden="1">#N/A</definedName>
    <definedName name="_MACHINE" hidden="1">#REF!</definedName>
    <definedName name="_mp2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1" hidden="1">#REF!</definedName>
    <definedName name="_N55" hidden="1">#REF!</definedName>
    <definedName name="_N7" hidden="1">#REF!</definedName>
    <definedName name="_new" hidden="1">#REF!</definedName>
    <definedName name="_new100" hidden="1">#REF!</definedName>
    <definedName name="_new101" hidden="1">#REF!</definedName>
    <definedName name="_new102" hidden="1">#REF!</definedName>
    <definedName name="_new103" hidden="1">#REF!</definedName>
    <definedName name="_new104" hidden="1">#REF!</definedName>
    <definedName name="_new105" hidden="1">#REF!</definedName>
    <definedName name="_new106" hidden="1">#REF!</definedName>
    <definedName name="_new107" hidden="1">#REF!</definedName>
    <definedName name="_new108" hidden="1">#REF!</definedName>
    <definedName name="_new109" hidden="1">#REF!</definedName>
    <definedName name="_new110" hidden="1">#REF!</definedName>
    <definedName name="_new111" hidden="1">#REF!</definedName>
    <definedName name="_new22" hidden="1">#REF!</definedName>
    <definedName name="_new23" hidden="1">#REF!</definedName>
    <definedName name="_new24" hidden="1">#REF!</definedName>
    <definedName name="_new25" hidden="1">#REF!</definedName>
    <definedName name="_new26" hidden="1">#REF!</definedName>
    <definedName name="_new27" hidden="1">#REF!</definedName>
    <definedName name="_new28" hidden="1">#REF!</definedName>
    <definedName name="_new29" hidden="1">#REF!</definedName>
    <definedName name="_new30" hidden="1">#REF!</definedName>
    <definedName name="_new31" hidden="1">#REF!</definedName>
    <definedName name="_new32" hidden="1">#REF!</definedName>
    <definedName name="_new33" hidden="1">#REF!</definedName>
    <definedName name="_new34" hidden="1">#REF!</definedName>
    <definedName name="_new35" hidden="1">#REF!</definedName>
    <definedName name="_new36" hidden="1">#REF!</definedName>
    <definedName name="_new37" hidden="1">#REF!</definedName>
    <definedName name="_new38" hidden="1">#REF!</definedName>
    <definedName name="_new39" hidden="1">#REF!</definedName>
    <definedName name="_new40" hidden="1">#REF!</definedName>
    <definedName name="_new41" hidden="1">#REF!</definedName>
    <definedName name="_new42" hidden="1">#REF!</definedName>
    <definedName name="_new43" hidden="1">#REF!</definedName>
    <definedName name="_new44" hidden="1">#REF!</definedName>
    <definedName name="_new45" hidden="1">#REF!</definedName>
    <definedName name="_new46" hidden="1">#REF!</definedName>
    <definedName name="_new47" hidden="1">#REF!</definedName>
    <definedName name="_new48" hidden="1">#REF!</definedName>
    <definedName name="_new49" hidden="1">#REF!</definedName>
    <definedName name="_new50" hidden="1">#REF!</definedName>
    <definedName name="_new51" hidden="1">#REF!</definedName>
    <definedName name="_new52" hidden="1">#REF!</definedName>
    <definedName name="_new53" hidden="1">#REF!</definedName>
    <definedName name="_new54" hidden="1">#REF!</definedName>
    <definedName name="_new55" hidden="1">#REF!</definedName>
    <definedName name="_new56" hidden="1">#REF!</definedName>
    <definedName name="_new57" hidden="1">#REF!</definedName>
    <definedName name="_new58" hidden="1">#REF!</definedName>
    <definedName name="_new59" hidden="1">#REF!</definedName>
    <definedName name="_new60" hidden="1">#REF!</definedName>
    <definedName name="_new61" hidden="1">#REF!</definedName>
    <definedName name="_new62" hidden="1">#REF!</definedName>
    <definedName name="_new63" hidden="1">#REF!</definedName>
    <definedName name="_new64" hidden="1">#REF!</definedName>
    <definedName name="_new65" hidden="1">#REF!</definedName>
    <definedName name="_new66" hidden="1">#REF!</definedName>
    <definedName name="_new67" hidden="1">#REF!</definedName>
    <definedName name="_new68" hidden="1">#REF!</definedName>
    <definedName name="_new69" hidden="1">#REF!</definedName>
    <definedName name="_new70" hidden="1">#REF!</definedName>
    <definedName name="_new71" hidden="1">#REF!</definedName>
    <definedName name="_new72" hidden="1">#REF!</definedName>
    <definedName name="_new73" hidden="1">#REF!</definedName>
    <definedName name="_new74" hidden="1">#REF!</definedName>
    <definedName name="_new75" hidden="1">#REF!</definedName>
    <definedName name="_new76" hidden="1">#REF!</definedName>
    <definedName name="_new77" hidden="1">#REF!</definedName>
    <definedName name="_new78" hidden="1">#REF!</definedName>
    <definedName name="_new79" hidden="1">#REF!</definedName>
    <definedName name="_new80" hidden="1">#REF!</definedName>
    <definedName name="_new81" hidden="1">#REF!</definedName>
    <definedName name="_new82" hidden="1">#REF!</definedName>
    <definedName name="_new83" hidden="1">#REF!</definedName>
    <definedName name="_new84" hidden="1">#REF!</definedName>
    <definedName name="_new85" hidden="1">#REF!</definedName>
    <definedName name="_new86" hidden="1">#REF!</definedName>
    <definedName name="_new87" hidden="1">#REF!</definedName>
    <definedName name="_new88" hidden="1">#REF!</definedName>
    <definedName name="_new89" hidden="1">#REF!</definedName>
    <definedName name="_new90" hidden="1">#REF!</definedName>
    <definedName name="_new91" hidden="1">#REF!</definedName>
    <definedName name="_new92" hidden="1">#REF!</definedName>
    <definedName name="_new93" hidden="1">#REF!</definedName>
    <definedName name="_new94" hidden="1">#REF!</definedName>
    <definedName name="_new95" hidden="1">#REF!</definedName>
    <definedName name="_new96" hidden="1">#REF!</definedName>
    <definedName name="_new97" hidden="1">#REF!</definedName>
    <definedName name="_new98" hidden="1">#REF!</definedName>
    <definedName name="_new99" hidden="1">#REF!</definedName>
    <definedName name="_o400" localSheetId="0" hidden="1">{#N/A,#N/A,FALSE,"970301";#N/A,#N/A,FALSE,"970302";#N/A,#N/A,FALSE,"970303";#N/A,#N/A,FALSE,"970304";#N/A,#N/A,FALSE,"COM1";#N/A,#N/A,FALSE,"COM2"}</definedName>
    <definedName name="_o400" hidden="1">{#N/A,#N/A,FALSE,"970301";#N/A,#N/A,FALSE,"970302";#N/A,#N/A,FALSE,"970303";#N/A,#N/A,FALSE,"970304";#N/A,#N/A,FALSE,"COM1";#N/A,#N/A,FALSE,"COM2"}</definedName>
    <definedName name="_ok1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o1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oo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Order1" hidden="1">255</definedName>
    <definedName name="_Order2" hidden="1">255</definedName>
    <definedName name="_P100" localSheetId="0" hidden="1">{#N/A,#N/A,FALSE,"²Ä1­Ó¤ë"}</definedName>
    <definedName name="_P100" hidden="1">{#N/A,#N/A,FALSE,"²Ä1­Ó¤ë"}</definedName>
    <definedName name="_P200" localSheetId="0" hidden="1">{#N/A,#N/A,FALSE,"YTCHAN";#N/A,#N/A,FALSE,"TOMMY";#N/A,#N/A,FALSE,"REP.OFFICE";#N/A,#N/A,FALSE,"E&amp;Y_CONSULTANT";#N/A,#N/A,FALSE,"BT &amp; CIT"}</definedName>
    <definedName name="_P200" hidden="1">{#N/A,#N/A,FALSE,"YTCHAN";#N/A,#N/A,FALSE,"TOMMY";#N/A,#N/A,FALSE,"REP.OFFICE";#N/A,#N/A,FALSE,"E&amp;Y_CONSULTANT";#N/A,#N/A,FALSE,"BT &amp; CIT"}</definedName>
    <definedName name="_P28" hidden="1">12</definedName>
    <definedName name="_P300" localSheetId="0" hidden="1">{#N/A,#N/A,FALSE,"资产负债表";#N/A,#N/A,FALSE,"资产负债表"}</definedName>
    <definedName name="_P300" hidden="1">{#N/A,#N/A,FALSE,"资产负债表";#N/A,#N/A,FALSE,"资产负债表"}</definedName>
    <definedName name="_P400" localSheetId="0" hidden="1">{#N/A,#N/A,FALSE,"FREEMAN";#N/A,#N/A,FALSE,"STEPHEN";#N/A,#N/A,FALSE,"VICTOR"}</definedName>
    <definedName name="_P400" hidden="1">{#N/A,#N/A,FALSE,"FREEMAN";#N/A,#N/A,FALSE,"STEPHEN";#N/A,#N/A,FALSE,"VICTOR"}</definedName>
    <definedName name="_p68" hidden="1">"5GS12LCFUEAXMVEWPBX0X0GN4"</definedName>
    <definedName name="_Parse_In" hidden="1">#REF!</definedName>
    <definedName name="_Parse_Out" hidden="1">#REF!</definedName>
    <definedName name="_PL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5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pl2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PL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localSheetId="0" hidden="1">{#N/A,#N/A,FALSE,"Report Data";#N/A,#N/A,FALSE,"COMP POOL";#N/A,#N/A,FALSE,"COMP POOL NB95";#N/A,#N/A,FALSE,"COMP POOL NB94"}</definedName>
    <definedName name="_PL4" hidden="1">{#N/A,#N/A,FALSE,"Report Data";#N/A,#N/A,FALSE,"COMP POOL";#N/A,#N/A,FALSE,"COMP POOL NB95";#N/A,#N/A,FALSE,"COMP POOL NB94"}</definedName>
    <definedName name="_PL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E2" hidden="1">#REF!</definedName>
    <definedName name="_q" localSheetId="0" hidden="1">{"ssssss",#N/A,FALSE,"太原"}</definedName>
    <definedName name="_q" hidden="1">{"ssssss",#N/A,FALSE,"太原"}</definedName>
    <definedName name="_q234" hidden="1">#REF!</definedName>
    <definedName name="_q3" hidden="1">#REF!</definedName>
    <definedName name="_qq1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qq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re34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re34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Regression_Int" hidden="1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hidden="1">#REF!</definedName>
    <definedName name="_ret7" localSheetId="0" hidden="1">{#N/A,#N/A,FALSE,"Summary";#N/A,#N/A,FALSE,"Month";#N/A,#N/A,FALSE,"YTD";#N/A,#N/A,FALSE,"Charts"}</definedName>
    <definedName name="_ret7" hidden="1">{#N/A,#N/A,FALSE,"Summary";#N/A,#N/A,FALSE,"Month";#N/A,#N/A,FALSE,"YTD";#N/A,#N/A,FALSE,"Charts"}</definedName>
    <definedName name="_rev2" localSheetId="0" hidden="1">{"'Eng (page2)'!$A$1:$D$52"}</definedName>
    <definedName name="_rev2" hidden="1">{"'Eng (page2)'!$A$1:$D$52"}</definedName>
    <definedName name="_row2" localSheetId="0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s" hidden="1">#REF!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cop4" hidden="1">#REF!</definedName>
    <definedName name="_Sort" hidden="1">#REF!</definedName>
    <definedName name="_Sort_Privates" hidden="1">#REF!</definedName>
    <definedName name="_SORT1" hidden="1">#REF!</definedName>
    <definedName name="_sort2" hidden="1">#REF!</definedName>
    <definedName name="_sort3" hidden="1">#REF!</definedName>
    <definedName name="_sorta" hidden="1">#REF!</definedName>
    <definedName name="_SSS1" hidden="1">#REF!</definedName>
    <definedName name="_Summary" hidden="1">#REF!</definedName>
    <definedName name="_t1" localSheetId="0" hidden="1">{"bs",#N/A,FALSE,"SCF"}</definedName>
    <definedName name="_t1" hidden="1">{"bs",#N/A,FALSE,"SCF"}</definedName>
    <definedName name="_t9" localSheetId="0" hidden="1">{#N/A,#N/A,FALSE,"UNIT";#N/A,#N/A,FALSE,"UNIT";#N/A,#N/A,FALSE,"계정"}</definedName>
    <definedName name="_t9" hidden="1">{#N/A,#N/A,FALSE,"UNIT";#N/A,#N/A,FALSE,"UNIT";#N/A,#N/A,FALSE,"계정"}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localSheetId="0" hidden="1">#REF!</definedName>
    <definedName name="_Table3_In2" hidden="1">#REF!</definedName>
    <definedName name="_Table3_Out" hidden="1">#REF!</definedName>
    <definedName name="_tes6" localSheetId="0" hidden="1">{"Data Worksheet",#N/A,FALSE,"CAREY97"}</definedName>
    <definedName name="_tes6" hidden="1">{"Data Worksheet",#N/A,FALSE,"CAREY97"}</definedName>
    <definedName name="_TMAutoChart1Names" localSheetId="0" hidden="1">{"Timeline","Chart 6","Timeline Chart 6"}</definedName>
    <definedName name="_TMAutoChart1Names" hidden="1">{"Timeline","Chart 6","Timeline Chart 6"}</definedName>
    <definedName name="_TMAutoChart1Refs" localSheetId="0" hidden="1">{"","","'Timeline'!$F$16","'Timeline'!$F$25","","","","","",""}</definedName>
    <definedName name="_TMAutoChart1Refs" hidden="1">{"","","'Timeline'!$F$16","'Timeline'!$F$25","","","","","",""}</definedName>
    <definedName name="_TMAutoChart2Names" localSheetId="0" hidden="1">{"Timeline","Chart 6","Timeline Chart 6"}</definedName>
    <definedName name="_TMAutoChart2Names" hidden="1">{"Timeline","Chart 6","Timeline Chart 6"}</definedName>
    <definedName name="_TMAutoChart2Refs" localSheetId="0" hidden="1">{"","","'Timeline'!$F$16","'Timeline'!$H$25","","","","","",""}</definedName>
    <definedName name="_TMAutoChart2Refs" hidden="1">{"","","'Timeline'!$F$16","'Timeline'!$H$25","","","","","",""}</definedName>
    <definedName name="_TMAutoChartCount" hidden="1">2</definedName>
    <definedName name="_u1" localSheetId="0" hidden="1">{"capacity",#N/A,FALSE,"Hefei";"Volume",#N/A,FALSE,"Hefei"}</definedName>
    <definedName name="_u1" hidden="1">{"capacity",#N/A,FALSE,"Hefei";"Volume",#N/A,FALSE,"Hefei"}</definedName>
    <definedName name="_u1001" localSheetId="0" hidden="1">{"capacity",#N/A,FALSE,"Hefei";"Volume",#N/A,FALSE,"Hefei"}</definedName>
    <definedName name="_u1001" hidden="1">{"capacity",#N/A,FALSE,"Hefei";"Volume",#N/A,FALSE,"Hefei"}</definedName>
    <definedName name="_UNDO31X31X_" hidden="1">#REF!</definedName>
    <definedName name="_v" localSheetId="0" hidden="1">#REF!</definedName>
    <definedName name="_ver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in1" hidden="1">#REF!</definedName>
    <definedName name="_w" localSheetId="0" hidden="1">{"ssssss",#N/A,FALSE,"太原"}</definedName>
    <definedName name="_w" hidden="1">{"ssssss",#N/A,FALSE,"太原"}</definedName>
    <definedName name="_w1" localSheetId="0" hidden="1">{"PVGraph2",#N/A,FALSE,"PV Data"}</definedName>
    <definedName name="_w1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w11" localSheetId="0" hidden="1">{"PVGraph2",#N/A,FALSE,"PV Data"}</definedName>
    <definedName name="_w11" hidden="1">{"PVGraph2",#N/A,FALSE,"PV Data"}</definedName>
    <definedName name="_w112" localSheetId="0" hidden="1">{"PVGraph2",#N/A,FALSE,"PV Data"}</definedName>
    <definedName name="_w112" hidden="1">{"PVGraph2",#N/A,FALSE,"PV Data"}</definedName>
    <definedName name="_w1121" localSheetId="0" hidden="1">{"PVGraph2",#N/A,FALSE,"PV Data"}</definedName>
    <definedName name="_w1121" hidden="1">{"PVGraph2",#N/A,FALSE,"PV Data"}</definedName>
    <definedName name="_w12" localSheetId="0" hidden="1">{"PVGraph2",#N/A,FALSE,"PV Data"}</definedName>
    <definedName name="_w12" hidden="1">{"PVGraph2",#N/A,FALSE,"PV Data"}</definedName>
    <definedName name="_w121" localSheetId="0" hidden="1">{"PVGraph2",#N/A,FALSE,"PV Data"}</definedName>
    <definedName name="_w121" hidden="1">{"PVGraph2",#N/A,FALSE,"PV Data"}</definedName>
    <definedName name="_w12345" localSheetId="0" hidden="1">{"PVGraph2",#N/A,FALSE,"PV Data"}</definedName>
    <definedName name="_w12345" hidden="1">{"PVGraph2",#N/A,FALSE,"PV Data"}</definedName>
    <definedName name="_w13" localSheetId="0" hidden="1">{"PVGraph2",#N/A,FALSE,"PV Data"}</definedName>
    <definedName name="_w13" hidden="1">{"PVGraph2",#N/A,FALSE,"PV Data"}</definedName>
    <definedName name="_w2" localSheetId="0" hidden="1">{"PVGraph2",#N/A,FALSE,"PV Data"}</definedName>
    <definedName name="_w2" hidden="1">{"PVGraph2",#N/A,FALSE,"PV Data"}</definedName>
    <definedName name="_w3" localSheetId="0" hidden="1">{"PVGraph2",#N/A,FALSE,"PV Data"}</definedName>
    <definedName name="_w3" hidden="1">{"PVGraph2",#N/A,FALSE,"PV Data"}</definedName>
    <definedName name="_W37" localSheetId="0" hidden="1">{#N/A,#N/A,FALSE,"Eff-SSC2"}</definedName>
    <definedName name="_W37" hidden="1">{#N/A,#N/A,FALSE,"Eff-SSC2"}</definedName>
    <definedName name="_W38" localSheetId="0" hidden="1">{#N/A,#N/A,FALSE,"Eff-SSC2"}</definedName>
    <definedName name="_W38" hidden="1">{#N/A,#N/A,FALSE,"Eff-SSC2"}</definedName>
    <definedName name="_w39" localSheetId="0" hidden="1">{#N/A,#N/A,FALSE,"Eff-SSC2"}</definedName>
    <definedName name="_w39" hidden="1">{#N/A,#N/A,FALSE,"Eff-SSC2"}</definedName>
    <definedName name="_w45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w4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w8" hidden="1">#REF!</definedName>
    <definedName name="_w9" localSheetId="0" hidden="1">{"PVGraph2",#N/A,FALSE,"PV Data"}</definedName>
    <definedName name="_wch26" hidden="1">#REF!</definedName>
    <definedName name="_WE" hidden="1">#REF!</definedName>
    <definedName name="_WHO2" localSheetId="0" hidden="1">{#N/A,#N/A,FALSE,"SUMMARY";#N/A,#N/A,FALSE,"DETAIL";#N/A,#N/A,FALSE,"VARIANCE"}</definedName>
    <definedName name="_WHO2" hidden="1">{#N/A,#N/A,FALSE,"SUMMARY";#N/A,#N/A,FALSE,"DETAIL";#N/A,#N/A,FALSE,"VARIANCE"}</definedName>
    <definedName name="_wrn1" localSheetId="0" hidden="1">{"Annual",#N/A,FALSE,"Sales &amp; Market";"Quarterly",#N/A,FALSE,"Sales &amp; Market"}</definedName>
    <definedName name="_wrn1" hidden="1">{"Annual",#N/A,FALSE,"Sales &amp; Market";"Quarterly",#N/A,FALSE,"Sales &amp; Market"}</definedName>
    <definedName name="_wrn5" localSheetId="0" hidden="1">{"internal is",#N/A,FALSE,"Model"}</definedName>
    <definedName name="_wrn5" hidden="1">{"internal is",#N/A,FALSE,"Model"}</definedName>
    <definedName name="_wrn7" localSheetId="0" hidden="1">{#N/A,#N/A,FALSE,"Financial";#N/A,#N/A,FALSE,"Balance Sheet";#N/A,#N/A,FALSE,"Income stmt";#N/A,#N/A,FALSE,"Ratio"}</definedName>
    <definedName name="_wrn7" hidden="1">{#N/A,#N/A,FALSE,"Financial";#N/A,#N/A,FALSE,"Balance Sheet";#N/A,#N/A,FALSE,"Income stmt";#N/A,#N/A,FALSE,"Ratio"}</definedName>
    <definedName name="_wt7" localSheetId="0" hidden="1">{#N/A,#N/A,FALSE,"Brasil";#N/A,#N/A,FALSE,"Brasil"}</definedName>
    <definedName name="_wt7" hidden="1">{#N/A,#N/A,FALSE,"Brasil";#N/A,#N/A,FALSE,"Brasil"}</definedName>
    <definedName name="_x2" localSheetId="0" hidden="1">{"PVGraph2",#N/A,FALSE,"PV Data"}</definedName>
    <definedName name="_x2" hidden="1">{"PVGraph2",#N/A,FALSE,"PV Data"}</definedName>
    <definedName name="_xlcn.LinkedTable_Table11" hidden="1">#REF!</definedName>
    <definedName name="_y2" localSheetId="0" hidden="1">{"PVGraph2",#N/A,FALSE,"PV Data"}</definedName>
    <definedName name="_y2" hidden="1">{"PVGraph2",#N/A,FALSE,"PV Data"}</definedName>
    <definedName name="_y22" localSheetId="0" hidden="1">{"PVGraph2",#N/A,FALSE,"PV Data"}</definedName>
    <definedName name="_y22" hidden="1">{"PVGraph2",#N/A,FALSE,"PV Data"}</definedName>
    <definedName name="_Y5" localSheetId="0" hidden="1">{#N/A,#N/A,FALSE,"970301";#N/A,#N/A,FALSE,"970302";#N/A,#N/A,FALSE,"970303";#N/A,#N/A,FALSE,"970304";#N/A,#N/A,FALSE,"COM1";#N/A,#N/A,FALSE,"COM2"}</definedName>
    <definedName name="_Y5" hidden="1">{#N/A,#N/A,FALSE,"970301";#N/A,#N/A,FALSE,"970302";#N/A,#N/A,FALSE,"970303";#N/A,#N/A,FALSE,"970304";#N/A,#N/A,FALSE,"COM1";#N/A,#N/A,FALSE,"COM2"}</definedName>
    <definedName name="_特定数据_3C06938329421EF88CB8E2A868BD6FE969165E374CFADBE917752A882CC72640EFF4ED962D3184F4" hidden="1">#REF!</definedName>
    <definedName name="_特定数据_3C06938329421EF88CB8E2A868BD6FE9AE7189CB3016303334EF9BAAF0C731AC4D5F32033A458F04" hidden="1">#REF!</definedName>
    <definedName name="_特定数据_59BA98F74EA0FAAF812A4399544D3A8719C003BD2D40E4BFE9291273DEB3F600795E407120D3F26B4D5F32033A458F04" hidden="1">#REF!</definedName>
    <definedName name="_特定数据_59BA98F74EA0FAAF812A4399544D3A8769165E374CFADBE986E4C957E430894E9A2580998A17FB19" hidden="1">#REF!</definedName>
    <definedName name="_特定数据_59BA98F74EA0FAAF812A4399544D3A87AE7189CB3016303326A94AAC9FAA35B603EC541ACD90B798" hidden="1">#REF!</definedName>
    <definedName name="_特定数据_A076A412391E695198A63032B1D4AECA1CA05C36D509DF5B43FA85D94DC0D73C7E1C05B2CA236A29B7F7C0B28017763F" hidden="1">#REF!</definedName>
    <definedName name="_特定数据_A076A412391E695198A63032B1D4AECA1CA05C36D509DF5B43FA85D94DC0D73C840AAAB39FA434F48880F7E2C1C0B78B" hidden="1">#REF!</definedName>
    <definedName name="_特定数据_A076A412391E695198A63032B1D4AECAD89FD834241C81320B72CBD5185D215B8B89A3AF22D636E78DCC9776E3563839B863EEED1E13EC4C" hidden="1">#REF!</definedName>
    <definedName name="_特定数据_A076A412391E695198A63032B1D4AECAD89FD834241C813243FA85D94DC0D73C2C7670A6F83D4C99A46CBA8C795DC271" hidden="1">#REF!</definedName>
    <definedName name="_特定数据_A076A412391E695198A63032B1D4AECAD89FD834241C813243FA85D94DC0D73CE6506C481E616C193DDCC32CFCAE29AC" hidden="1">#REF!</definedName>
    <definedName name="_特定数据_A0E7D8F613BC38DA27E61D5F8AA4D779730A117FB2F1EB148CEDF2DDCB87E2B651BFD4AB365A211B" hidden="1">#REF!</definedName>
    <definedName name="_特定数据_A0E7D8F613BC38DA8134A60B7DD53300730A117FB2F1EB148CEDF2DDCB87E2B6B4F2947097B6EACF" hidden="1">#REF!</definedName>
    <definedName name="_特定数据_A0E7D8F613BC38DA9C66F2DCD90C49A143FA85D94DC0D73CEC80B9AB288BED1BDD08DC92AFE00E30" hidden="1">#REF!</definedName>
    <definedName name="_特定数据_A538FB84CD36CBD44DB2CE53411901F119C003BD2D40E4BF201CAD52910E9A725AD915E3EE91812C4D5F32033A458F04" hidden="1">#REF!</definedName>
    <definedName name="_特定数据_A538FB84CD36CBD44DB2CE53411901F169165E374CFADBE9DDAEE0E27482D9E6E34B661FF40211B9" hidden="1">#REF!</definedName>
    <definedName name="_特定数据_A538FB84CD36CBD44DB2CE53411901F1AE7189CB301630339A126FABC03BD47BE34B661FF40211B9" hidden="1">#REF!</definedName>
    <definedName name="_特定数据_A538FB84CD36CBD4E5E5CA582B9A6C820E1667FFF25E5678F7FFA6E70207FE2B5772F83562EF7FE2" hidden="1">#REF!</definedName>
    <definedName name="_特定数据_ADE3F8F503186B2F258BB0650F9AD977063FA921682416D427ADBC508C2269078A0D94A0D282DC86C49A452F60D3D605B0DE4889E307A09F" hidden="1">#REF!</definedName>
    <definedName name="_特定数据_ADE3F8F503186B2F5B5F68F2DA8C8DFE72D448E17AA83A62737BDDB9ABF8583133C8BC3EB4AF6B3CBFA7DD030650407A61163966CB8D1BE3" hidden="1">#REF!</definedName>
    <definedName name="_特定数据_C46299F5AE92CB58B21C139011FFFE56042772483F518AAF30CB8220FC09F536AC44D3D9FDE551B52C6CC377386D5965" hidden="1">#REF!</definedName>
    <definedName name="_特定数据_C46299F5AE92CB58B21C139011FFFE56042772483F518AAFA7298C5B6AC0957A1D66523D1A52CD012C6CC377386D5965" hidden="1">#REF!</definedName>
    <definedName name="_特定数据_C46299F5AE92CB58B21C139011FFFE56D297BC94B8A761477C45147865B8D93A68C6FC60B7F7990C2C6CC377386D5965" hidden="1">#REF!</definedName>
    <definedName name="_特定数据_C46299F5AE92CB58B21C139011FFFE56F29E31DDD917A05176BE724FAB2134593A69B7AA052EA300" hidden="1">#REF!</definedName>
    <definedName name="_特定数据_C46299F5AE92CB58B21C139011FFFE56F29E31DDD917A051A6F4F44CAB5D00D142DE0C3E526FA9CC" hidden="1">#REF!</definedName>
    <definedName name="a" localSheetId="0" hidden="1">{"'Eng (page2)'!$A$1:$D$52"}</definedName>
    <definedName name="a" hidden="1">{"'Eng (page2)'!$A$1:$D$52"}</definedName>
    <definedName name="a." localSheetId="0" hidden="1">{#N/A,#N/A,TRUE,"KEY DATA";#N/A,#N/A,TRUE,"KEY DATA Base Case";#N/A,#N/A,TRUE,"JULY";#N/A,#N/A,TRUE,"AUG";#N/A,#N/A,TRUE,"SEPT";#N/A,#N/A,TRUE,"3Q"}</definedName>
    <definedName name="a." hidden="1">{#N/A,#N/A,TRUE,"KEY DATA";#N/A,#N/A,TRUE,"KEY DATA Base Case";#N/A,#N/A,TRUE,"JULY";#N/A,#N/A,TRUE,"AUG";#N/A,#N/A,TRUE,"SEPT";#N/A,#N/A,TRUE,"3Q"}</definedName>
    <definedName name="A.." localSheetId="0" hidden="1">{#N/A,#N/A,TRUE,"KEY DATA";#N/A,#N/A,TRUE,"KEY DATA Base Case";#N/A,#N/A,TRUE,"JULY";#N/A,#N/A,TRUE,"AUG";#N/A,#N/A,TRUE,"SEPT";#N/A,#N/A,TRUE,"3Q"}</definedName>
    <definedName name="A.." hidden="1">{#N/A,#N/A,TRUE,"KEY DATA";#N/A,#N/A,TRUE,"KEY DATA Base Case";#N/A,#N/A,TRUE,"JULY";#N/A,#N/A,TRUE,"AUG";#N/A,#N/A,TRUE,"SEPT";#N/A,#N/A,TRUE,"3Q"}</definedName>
    <definedName name="a.xls" localSheetId="0" hidden="1">{#N/A,#N/A,FALSE,"970301";#N/A,#N/A,FALSE,"970302";#N/A,#N/A,FALSE,"970303";#N/A,#N/A,FALSE,"970304";#N/A,#N/A,FALSE,"COM1";#N/A,#N/A,FALSE,"COM2"}</definedName>
    <definedName name="a.xls" hidden="1">{#N/A,#N/A,FALSE,"970301";#N/A,#N/A,FALSE,"970302";#N/A,#N/A,FALSE,"970303";#N/A,#N/A,FALSE,"970304";#N/A,#N/A,FALSE,"COM1";#N/A,#N/A,FALSE,"COM2"}</definedName>
    <definedName name="a9Ref.98F362E7_5236_4913_BDAA_09CD041F29A0.6C615A66_3C98_4029_8B23_4B9EC870D935" hidden="1">#REF!</definedName>
    <definedName name="a9Ref.98F362E7_5236_4913_BDAA_09CD041F29A0.76569CB5_3148_4A80_8239_0545A99352C7" hidden="1">#REF!</definedName>
    <definedName name="a9Ref.98F362E7_5236_4913_BDAA_09CD041F29A0.CCC28792_8C5C_40BA_9D7B_82ACF3F5BBF5" hidden="1">#REF!</definedName>
    <definedName name="a9Ref.98F362E7_5236_4913_BDAA_09CD041F29A0.FBAA9C7D_D50E_490A_A61C_528A147D6D4F" hidden="1">#REF!</definedName>
    <definedName name="a9Ref.A59C797A_939C_4E6F_A190_4EC90FEFFF6F.D44F8189_3859_4A09_B6D4_8C3D9F1BF1E9" hidden="1">#REF!</definedName>
    <definedName name="a9Ref.F6EEA31B_7606_437A_8A0C_6EEACB5A350A.6536FA0C_8C1B_4BD9_9F8A_F0BDA7D6D3D3" hidden="1">#REF!</definedName>
    <definedName name="aa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a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aa." localSheetId="0" hidden="1">{#N/A,#N/A,TRUE,"KEY DATA";#N/A,#N/A,TRUE,"KEY DATA Base Case";#N/A,#N/A,TRUE,"JULY";#N/A,#N/A,TRUE,"AUG";#N/A,#N/A,TRUE,"SEPT";#N/A,#N/A,TRUE,"3Q"}</definedName>
    <definedName name="aaa." hidden="1">{#N/A,#N/A,TRUE,"KEY DATA";#N/A,#N/A,TRUE,"KEY DATA Base Case";#N/A,#N/A,TRUE,"JULY";#N/A,#N/A,TRUE,"AUG";#N/A,#N/A,TRUE,"SEPT";#N/A,#N/A,TRUE,"3Q"}</definedName>
    <definedName name="AAA_DOCTOPS" hidden="1">"AAA_SET"</definedName>
    <definedName name="AAA_duser" hidden="1">"OFF"</definedName>
    <definedName name="aaaa" localSheetId="0" hidden="1">{0,0,"",0;0,0,0,0;0,0,0,0;0,0,0,0;0,0,0,0;0,0,0,0;0,0,0,0;0,0,0,0;0,0,0,0;0,0,0,0;0,0,0,0;0,0,0,0}</definedName>
    <definedName name="aaaa" hidden="1">{0,0,"",0;0,0,0,0;0,0,0,0;0,0,0,0;0,0,0,0;0,0,0,0;0,0,0,0;0,0,0,0;0,0,0,0;0,0,0,0;0,0,0,0;0,0,0,0}</definedName>
    <definedName name="aaaaa" localSheetId="0" hidden="1">{0,0,"",0;0,0,0,0;0,"",0,0;0,0,0,0;0,0,0,0;0,0,0,0;0,0,0,0;0,0,0,0;"",0,0,0;0,0,0,0;0,0,TRUE,0;0,0,0,0}</definedName>
    <definedName name="aaaaa" hidden="1">{0,0,"",0;0,0,0,0;0,"",0,0;0,0,0,0;0,0,0,0;0,0,0,0;0,0,0,0;0,0,0,0;"",0,0,0;0,0,0,0;0,0,TRUE,0;0,0,0,0}</definedName>
    <definedName name="aaaaaaaa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aaaaaaa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aaaaaaaa" localSheetId="0" hidden="1">{"cover",#N/A,TRUE,"Cover";"toc1",#N/A,TRUE,"TOC";"ts1",#N/A,TRUE,"Transaction Summary";"ei",#N/A,TRUE,"Earnings Impact";"ad",#N/A,TRUE,"accretion dilution"}</definedName>
    <definedName name="aaaaaaaaa" hidden="1">{"cover",#N/A,TRUE,"Cover";"toc1",#N/A,TRUE,"TOC";"ts1",#N/A,TRUE,"Transaction Summary";"ei",#N/A,TRUE,"Earnings Impact";"ad",#N/A,TRUE,"accretion dilution"}</definedName>
    <definedName name="aaaaaaaaaa" localSheetId="0" hidden="1">{"en_tete",#N/A,FALSE,"Index";"vue",#N/A,FALSE,"P.-0";#N/A,#N/A,FALSE,"P.-1";#N/A,#N/A,FALSE,"P.- 2a";#N/A,#N/A,FALSE,"P.- 3";#N/A,#N/A,FALSE,"P.- 4";#N/A,#N/A,FALSE,"B.-4b";#N/A,#N/A,FALSE,"B.-8"}</definedName>
    <definedName name="aaaaaaaaaa" hidden="1">{"en_tete",#N/A,FALSE,"Index";"vue",#N/A,FALSE,"P.-0";#N/A,#N/A,FALSE,"P.-1";#N/A,#N/A,FALSE,"P.- 2a";#N/A,#N/A,FALSE,"P.- 3";#N/A,#N/A,FALSE,"P.- 4";#N/A,#N/A,FALSE,"B.-4b";#N/A,#N/A,FALSE,"B.-8"}</definedName>
    <definedName name="aaaaaaaaaaaaaa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aaaaaaaaaaaaaa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aaaaaaaaaaaaaaaa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aaaaaaaaaaaaaaaa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aaaaaaaaaaaaaaaaaa" hidden="1">#REF!</definedName>
    <definedName name="aaaaaaaaaaaaaaaaaaa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aaaaaaaaaaaaaaaaaaa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aaaaaaaaaaaaaaaaaaaaaaaa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aaaaaaaaaaaaaaaaaaaaaaaa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aaaaaaaaaaaaaaaaaaaaaaaaa" localSheetId="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aaaaaaaaaaaaaaaaaaaaaaaaa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aaaaaaaaaaaaaaaaaaaaaaaaaaa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aaaaaaaaaaaaaaaaaaaaaaaaaaa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aaaaaaaaaaaaaaaaaaaaaaaaaaaa" localSheetId="0" hidden="1">{"en_tete",#N/A,FALSE,"Index";"vue",#N/A,FALSE,"P.-0";#N/A,#N/A,FALSE,"P.-1";#N/A,#N/A,FALSE,"P.- 2a";#N/A,#N/A,FALSE,"P.- 3";#N/A,#N/A,FALSE,"P.- 4";#N/A,#N/A,FALSE,"B.-4b";#N/A,#N/A,FALSE,"B.-8"}</definedName>
    <definedName name="aaaaaaaaaaaaaaaaaaaaaaaaaaaa" hidden="1">{"en_tete",#N/A,FALSE,"Index";"vue",#N/A,FALSE,"P.-0";#N/A,#N/A,FALSE,"P.-1";#N/A,#N/A,FALSE,"P.- 2a";#N/A,#N/A,FALSE,"P.- 3";#N/A,#N/A,FALSE,"P.- 4";#N/A,#N/A,FALSE,"B.-4b";#N/A,#N/A,FALSE,"B.-8"}</definedName>
    <definedName name="aaaaadc" localSheetId="0" hidden="1">{0,0,0,0}</definedName>
    <definedName name="aaaaadc" hidden="1">{0,0,0,0}</definedName>
    <definedName name="aaaaadv" localSheetId="0" hidden="1">{"AssumptionSheet",#N/A,FALSE,"Assumptions";"RevenueExpensesSheet",#N/A,FALSE,"Table_Revenue";"EquityProfileSheet",#N/A,FALSE,"Table_Equity";"ConstructDebtSheet",#N/A,FALSE,"Table_Debt"}</definedName>
    <definedName name="aaaaadv" hidden="1">{"AssumptionSheet",#N/A,FALSE,"Assumptions";"RevenueExpensesSheet",#N/A,FALSE,"Table_Revenue";"EquityProfileSheet",#N/A,FALSE,"Table_Equity";"ConstructDebtSheet",#N/A,FALSE,"Table_Debt"}</definedName>
    <definedName name="aaaasdf" localSheetId="0" hidden="1">{#N/A,#N/A,TRUE,"GEM Total";#N/A,#N/A,TRUE,"Final Assembly";#N/A,#N/A,TRUE,"Cleaning";#N/A,#N/A,TRUE,"Schooping,Clearing";#N/A,#N/A,TRUE,"Winding"}</definedName>
    <definedName name="aaaasdf" hidden="1">{#N/A,#N/A,TRUE,"GEM Total";#N/A,#N/A,TRUE,"Final Assembly";#N/A,#N/A,TRUE,"Cleaning";#N/A,#N/A,TRUE,"Schooping,Clearing";#N/A,#N/A,TRUE,"Winding"}</definedName>
    <definedName name="aaaddd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ddd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dv" localSheetId="0" hidden="1">{"AssumptionSheet",#N/A,FALSE,"Assumptions";"RevenueExpensesSheet",#N/A,FALSE,"Table_Revenue";"EquityProfileSheet",#N/A,FALSE,"Table_Equity";"ConstructDebtSheet",#N/A,FALSE,"Table_Debt"}</definedName>
    <definedName name="AAAdv" hidden="1">{"AssumptionSheet",#N/A,FALSE,"Assumptions";"RevenueExpensesSheet",#N/A,FALSE,"Table_Revenue";"EquityProfileSheet",#N/A,FALSE,"Table_Equity";"ConstructDebtSheet",#N/A,FALSE,"Table_Debt"}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" localSheetId="0" hidden="1">{#N/A,#N/A,FALSE,"Projections";#N/A,#N/A,FALSE,"Multiples Valuation";#N/A,#N/A,FALSE,"LBO";#N/A,#N/A,FALSE,"Multiples_Sensitivity";#N/A,#N/A,FALSE,"Summary"}</definedName>
    <definedName name="aabb" hidden="1">{#N/A,#N/A,FALSE,"Projections";#N/A,#N/A,FALSE,"Multiples Valuation";#N/A,#N/A,FALSE,"LBO";#N/A,#N/A,FALSE,"Multiples_Sensitivity";#N/A,#N/A,FALSE,"Summary"}</definedName>
    <definedName name="aahbh" localSheetId="0" hidden="1">{"ssssss",#N/A,FALSE,"太原"}</definedName>
    <definedName name="aahbh" hidden="1">{"ssssss",#N/A,FALSE,"太原"}</definedName>
    <definedName name="aaq" localSheetId="0" hidden="1">{#N/A,#N/A,FALSE,"AOP Summary";#N/A,#N/A,FALSE,"E.C. Reports";#N/A,#N/A,FALSE,"SADA";#N/A,#N/A,FALSE,"SADA VARIANCE";#N/A,#N/A,FALSE,"Market Share";#N/A,#N/A,FALSE,"Fisher Data"}</definedName>
    <definedName name="aaq" hidden="1">{#N/A,#N/A,FALSE,"AOP Summary";#N/A,#N/A,FALSE,"E.C. Reports";#N/A,#N/A,FALSE,"SADA";#N/A,#N/A,FALSE,"SADA VARIANCE";#N/A,#N/A,FALSE,"Market Share";#N/A,#N/A,FALSE,"Fisher Data"}</definedName>
    <definedName name="ab" hidden="1">#REF!</definedName>
    <definedName name="aba" hidden="1">#REF!</definedName>
    <definedName name="abcd110" localSheetId="0" hidden="1">{"JimZhang - Personal View",#N/A,FALSE,"800230"}</definedName>
    <definedName name="abcd110" hidden="1">{"JimZhang - Personal View",#N/A,FALSE,"800230"}</definedName>
    <definedName name="abcxyz" localSheetId="0" hidden="1">{#N/A,#N/A,TRUE,"Cover sheet";#N/A,#N/A,TRUE,"DCF analysis";#N/A,#N/A,TRUE,"WACC calculation"}</definedName>
    <definedName name="abcxyz" hidden="1">{#N/A,#N/A,TRUE,"Cover sheet";#N/A,#N/A,TRUE,"DCF analysis";#N/A,#N/A,TRUE,"WACC calculation"}</definedName>
    <definedName name="abd" localSheetId="0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abd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e" localSheetId="0" hidden="1">{#N/A,#N/A,FALSE,"Summary";#N/A,#N/A,FALSE,"Month";#N/A,#N/A,FALSE,"YTD";#N/A,#N/A,FALSE,"Charts"}</definedName>
    <definedName name="abe" hidden="1">{#N/A,#N/A,FALSE,"Summary";#N/A,#N/A,FALSE,"Month";#N/A,#N/A,FALSE,"YTD";#N/A,#N/A,FALSE,"Charts"}</definedName>
    <definedName name="Abrisa" localSheetId="0" hidden="1">{"FY04_Assets",#N/A,FALSE,"Fin Stmt Budget";"FY04_Liabilities",#N/A,FALSE,"Fin Stmt Budget";"FY04_Inc_Stmt",#N/A,FALSE,"Fin Stmt Budget";"FY04_SOCF",#N/A,FALSE,"Fin Stmt Budget"}</definedName>
    <definedName name="Abrisa" hidden="1">{"FY04_Assets",#N/A,FALSE,"Fin Stmt Budget";"FY04_Liabilities",#N/A,FALSE,"Fin Stmt Budget";"FY04_Inc_Stmt",#N/A,FALSE,"Fin Stmt Budget";"FY04_SOCF",#N/A,FALSE,"Fin Stmt Budget"}</definedName>
    <definedName name="abv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_line1.0_" localSheetId="0" hidden="1">{#N/A,#N/A,FALSE,"Eff-SSC2"}</definedName>
    <definedName name="ac_line1.0_" hidden="1">{#N/A,#N/A,FALSE,"Eff-SSC2"}</definedName>
    <definedName name="Access_Button" hidden="1">"Assets_Fixed_Assets_List"</definedName>
    <definedName name="Access_Button1" hidden="1">"X1999_BILLING_RECORDS_Bill_Payment_Expenditures_1999_List1"</definedName>
    <definedName name="AccessDatabase" hidden="1">"D:\aho\excel\Facility 2\facility.mdb"</definedName>
    <definedName name="Accretion.Dilution2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etion.Dilution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T_AJE1" hidden="1">#REF!</definedName>
    <definedName name="ACCT_AJE2" hidden="1">#REF!</definedName>
    <definedName name="acdb" localSheetId="0" hidden="1">{#N/A,#N/A,FALSE,"SMT1";#N/A,#N/A,FALSE,"SMT2";#N/A,#N/A,FALSE,"Summary";#N/A,#N/A,FALSE,"Graphs";#N/A,#N/A,FALSE,"4 Panel"}</definedName>
    <definedName name="acdb" hidden="1">{#N/A,#N/A,FALSE,"SMT1";#N/A,#N/A,FALSE,"SMT2";#N/A,#N/A,FALSE,"Summary";#N/A,#N/A,FALSE,"Graphs";#N/A,#N/A,FALSE,"4 Panel"}</definedName>
    <definedName name="act" localSheetId="0" hidden="1">{"Bay Actives",#N/A,TRUE,"Actives Budget";"Simpsons Actives",#N/A,TRUE,"Actives Budget";"Bay Simpsons Actives",#N/A,TRUE,"Actives Budget";"Zellers Actives",#N/A,TRUE,"Actives Budget";"Total Actives",#N/A,TRUE,"Actives Budget"}</definedName>
    <definedName name="act" hidden="1">{"Bay Actives",#N/A,TRUE,"Actives Budget";"Simpsons Actives",#N/A,TRUE,"Actives Budget";"Bay Simpsons Actives",#N/A,TRUE,"Actives Budget";"Zellers Actives",#N/A,TRUE,"Actives Budget";"Total Actives",#N/A,TRUE,"Actives Budget"}</definedName>
    <definedName name="ACTIVOS" localSheetId="0" hidden="1">{#N/A,#N/A,FALSE,"tipo prestatario";#N/A,#N/A,FALSE,"por importes";#N/A,#N/A,FALSE,"por plazos";#N/A,#N/A,FALSE,"por tipo  interes";#N/A,#N/A,FALSE,"desg. cart";#N/A,#N/A,FALSE,"act. dud. deuda"}</definedName>
    <definedName name="ACTIVOS" hidden="1">{#N/A,#N/A,FALSE,"tipo prestatario";#N/A,#N/A,FALSE,"por importes";#N/A,#N/A,FALSE,"por plazos";#N/A,#N/A,FALSE,"por tipo  interes";#N/A,#N/A,FALSE,"desg. cart";#N/A,#N/A,FALSE,"act. dud. deuda"}</definedName>
    <definedName name="Actual" localSheetId="0" hidden="1">{#N/A,#N/A,TRUE,"Historicals";#N/A,#N/A,TRUE,"Charts";#N/A,#N/A,TRUE,"Forecasts"}</definedName>
    <definedName name="Actual" hidden="1">{#N/A,#N/A,TRUE,"Historicals";#N/A,#N/A,TRUE,"Charts";#N/A,#N/A,TRUE,"Forecasts"}</definedName>
    <definedName name="ACwvu.All." hidden="1">#REF!</definedName>
    <definedName name="ACwvu.Commercial97." hidden="1">#REF!</definedName>
    <definedName name="ACwvu.Détail." hidden="1">#REF!</definedName>
    <definedName name="ACwvu.Expanded." hidden="1">#REF!</definedName>
    <definedName name="ACwvu.Page4." hidden="1">#REF!</definedName>
    <definedName name="ACwvu.Profit._.and._.Loss." hidden="1">#REF!</definedName>
    <definedName name="ACwvu.sheet._.4." hidden="1">#REF!</definedName>
    <definedName name="ACwvu.Summary._.Sheet." hidden="1">#REF!</definedName>
    <definedName name="ACwvu.Synthèse." hidden="1">#REF!</definedName>
    <definedName name="ACwvu.synthétique." hidden="1">#REF!</definedName>
    <definedName name="ad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as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1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" localSheetId="0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adasd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adcd" localSheetId="0" hidden="1">{#N/A,#N/A,FALSE,"Sheet8";#N/A,#N/A,FALSE,"Sheet7"}</definedName>
    <definedName name="adcd" hidden="1">{#N/A,#N/A,FALSE,"Sheet8";#N/A,#N/A,FALSE,"Sheet7"}</definedName>
    <definedName name="addg" localSheetId="0" hidden="1">{#N/A,#N/A,FALSE,"CBE";#N/A,#N/A,FALSE,"SWK"}</definedName>
    <definedName name="addg" hidden="1">{#N/A,#N/A,FALSE,"CBE";#N/A,#N/A,FALSE,"SWK"}</definedName>
    <definedName name="ADETRUIRE" localSheetId="0" hidden="1">{#N/A,#N/A,TRUE,"Forecast &amp; Analysis";#N/A,#N/A,TRUE,"Market Values";#N/A,#N/A,TRUE,"Ratios";#N/A,#N/A,TRUE,"Regressions";#N/A,#N/A,TRUE,"Market Values";#N/A,#N/A,TRUE,"Parameters &amp; Results"}</definedName>
    <definedName name="ADETRUIRE" hidden="1">{#N/A,#N/A,TRUE,"Forecast &amp; Analysis";#N/A,#N/A,TRUE,"Market Values";#N/A,#N/A,TRUE,"Ratios";#N/A,#N/A,TRUE,"Regressions";#N/A,#N/A,TRUE,"Market Values";#N/A,#N/A,TRUE,"Parameters &amp; Results"}</definedName>
    <definedName name="adewerd" localSheetId="0" hidden="1">{"M5Print",#N/A,FALSE,"M5"}</definedName>
    <definedName name="adewerd" hidden="1">{"M5Print",#N/A,FALSE,"M5"}</definedName>
    <definedName name="adf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df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dfa" localSheetId="0" hidden="1">{"cap_structure",#N/A,FALSE,"Graph-Mkt Cap";"price",#N/A,FALSE,"Graph-Price";"ebit",#N/A,FALSE,"Graph-EBITDA";"ebitda",#N/A,FALSE,"Graph-EBITDA"}</definedName>
    <definedName name="adfa" hidden="1">#REF!</definedName>
    <definedName name="adfadf" hidden="1">#REF!</definedName>
    <definedName name="adfadfasfdadf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df" localSheetId="0" hidden="1">{#N/A,#N/A,FALSE,"资产负债表";#N/A,#N/A,FALSE,"资产负债表"}</definedName>
    <definedName name="adfasdf" hidden="1">{#N/A,#N/A,FALSE,"资产负债表";#N/A,#N/A,FALSE,"资产负债表"}</definedName>
    <definedName name="adfasdfas" localSheetId="0" hidden="1">{#N/A,#N/A,FALSE,"资产负债表";#N/A,#N/A,FALSE,"资产负债表"}</definedName>
    <definedName name="adfasdfas" hidden="1">{#N/A,#N/A,FALSE,"资产负债表";#N/A,#N/A,FALSE,"资产负债表"}</definedName>
    <definedName name="adfasfadfda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g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fg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fgadga" hidden="1">#REF!</definedName>
    <definedName name="adfgga" localSheetId="0" hidden="1">{"FCB_ALL",#N/A,FALSE,"FCB"}</definedName>
    <definedName name="adfgga" hidden="1">{"FCB_ALL",#N/A,FALSE,"FCB"}</definedName>
    <definedName name="adfghsdfgas" localSheetId="0" hidden="1">{"inputs raw data",#N/A,TRUE,"INPUT"}</definedName>
    <definedName name="adfghsdfgas" hidden="1">{"inputs raw data",#N/A,TRUE,"INPUT"}</definedName>
    <definedName name="ADFWAE" localSheetId="0" hidden="1">{"summary1",#N/A,TRUE,"Comps";"summary2",#N/A,TRUE,"Comps";"summary3",#N/A,TRUE,"Comps"}</definedName>
    <definedName name="ADFWAE" hidden="1">{"summary1",#N/A,TRUE,"Comps";"summary2",#N/A,TRUE,"Comps";"summary3",#N/A,TRUE,"Comps"}</definedName>
    <definedName name="adgad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rharh" localSheetId="0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adrha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Adriana" localSheetId="0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Adriana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ads" localSheetId="0" hidden="1">{"inputs raw data",#N/A,TRUE,"INPUT"}</definedName>
    <definedName name="ads" hidden="1">{"inputs raw data",#N/A,TRUE,"INPUT"}</definedName>
    <definedName name="ADSFA" localSheetId="0" hidden="1">{"inputs raw data",#N/A,TRUE,"INPUT"}</definedName>
    <definedName name="adsfg" localSheetId="0" hidden="1">{"client cfbs",#N/A,FALSE,"Client"}</definedName>
    <definedName name="adsfg" hidden="1">{"client cfbs",#N/A,FALSE,"Client"}</definedName>
    <definedName name="adsfh" localSheetId="0" hidden="1">{"client cfbs",#N/A,FALSE,"Client"}</definedName>
    <definedName name="adsfh" hidden="1">{"client cfbs",#N/A,FALSE,"Client"}</definedName>
    <definedName name="ae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M" hidden="1">#REF!</definedName>
    <definedName name="aeo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o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rhaerhaerh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erhaerhaer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ERJJ" hidden="1">#REF!</definedName>
    <definedName name="aes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aes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aewer" localSheetId="0" hidden="1">{"M6Print",#N/A,FALSE,"M6";"M6_1Print",#N/A,FALSE,"M6_1";"M6_2Print",#N/A,FALSE,"M6_2"}</definedName>
    <definedName name="aewer" hidden="1">{"M6Print",#N/A,FALSE,"M6";"M6_1Print",#N/A,FALSE,"M6_1";"M6_2Print",#N/A,FALSE,"M6_2"}</definedName>
    <definedName name="AEWEW" localSheetId="0" hidden="1">{"inputs raw data",#N/A,TRUE,"INPUT"}</definedName>
    <definedName name="AEWEW" hidden="1">{"inputs raw data",#N/A,TRUE,"INPUT"}</definedName>
    <definedName name="aewr" localSheetId="0" hidden="1">{"mgmt forecast",#N/A,FALSE,"Mgmt Forecast";"dcf table",#N/A,FALSE,"Mgmt Forecast";"sensitivity",#N/A,FALSE,"Mgmt Forecast";"table inputs",#N/A,FALSE,"Mgmt Forecast";"calculations",#N/A,FALSE,"Mgmt Forecast"}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f" localSheetId="0" hidden="1">{#N/A,#N/A,FALSE,"TAXC.INDEX";#N/A,#N/A,FALSE,"Schedule I";#N/A,#N/A,FALSE,"Schedule  II";#N/A,#N/A,FALSE,"Schedule III"}</definedName>
    <definedName name="af" hidden="1">{#N/A,#N/A,FALSE,"TAXC.INDEX";#N/A,#N/A,FALSE,"Schedule I";#N/A,#N/A,FALSE,"Schedule  II";#N/A,#N/A,FALSE,"Schedule III"}</definedName>
    <definedName name="afasfad" localSheetId="0" hidden="1">{#N/A,#N/A,FALSE,"BalSheet";#N/A,#N/A,FALSE,"IncStmt";#N/A,#N/A,FALSE,"StmtPCA";#N/A,#N/A,FALSE,"CashFlow";#N/A,#N/A,FALSE,"JE";#N/A,#N/A,FALSE,"OtherExpRec";#N/A,#N/A,FALSE,"Mgt Fee";#N/A,#N/A,FALSE,"Accounts Payable";#N/A,#N/A,FALSE,"NV Interest";#N/A,#N/A,FALSE,"CashFlowsupp";#N/A,#N/A,FALSE,"Venture Interest";#N/A,#N/A,FALSE,"CashRec"}</definedName>
    <definedName name="afasfad" hidden="1">{#N/A,#N/A,FALSE,"BalSheet";#N/A,#N/A,FALSE,"IncStmt";#N/A,#N/A,FALSE,"StmtPCA";#N/A,#N/A,FALSE,"CashFlow";#N/A,#N/A,FALSE,"JE";#N/A,#N/A,FALSE,"OtherExpRec";#N/A,#N/A,FALSE,"Mgt Fee";#N/A,#N/A,FALSE,"Accounts Payable";#N/A,#N/A,FALSE,"NV Interest";#N/A,#N/A,FALSE,"CashFlowsupp";#N/A,#N/A,FALSE,"Venture Interest";#N/A,#N/A,FALSE,"CashRec"}</definedName>
    <definedName name="afdafd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dafd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ga" localSheetId="0" hidden="1">{"PVGraph2",#N/A,FALSE,"PV Data"}</definedName>
    <definedName name="afga" hidden="1">{"PVGraph2",#N/A,FALSE,"PV Data"}</definedName>
    <definedName name="afsaf" localSheetId="0" hidden="1">{"incStmt",#N/A,TRUE,"Fin'l Stmts.";"cashflw",#N/A,TRUE,"Fin'l Stmts.";"ChangeinPtnrCap",#N/A,TRUE,"Fin'l Stmts.";#N/A,#N/A,TRUE,"PCA";#N/A,#N/A,TRUE,"Inc. Alloc.";"Balance",#N/A,TRUE,"Fin'l Stmts."}</definedName>
    <definedName name="afsaf" hidden="1">{"incStmt",#N/A,TRUE,"Fin'l Stmts.";"cashflw",#N/A,TRUE,"Fin'l Stmts.";"ChangeinPtnrCap",#N/A,TRUE,"Fin'l Stmts.";#N/A,#N/A,TRUE,"PCA";#N/A,#N/A,TRUE,"Inc. Alloc.";"Balance",#N/A,TRUE,"Fin'l Stmts."}</definedName>
    <definedName name="afsdavad" localSheetId="0" hidden="1">#REF!</definedName>
    <definedName name="afsdavad" hidden="1">#REF!</definedName>
    <definedName name="AFV" hidden="1">#REF!</definedName>
    <definedName name="again" localSheetId="0" hidden="1">{"Data Worksheet",#N/A,FALSE,"CAREY97"}</definedName>
    <definedName name="again" hidden="1">{"Data Worksheet",#N/A,FALSE,"CAREY97"}</definedName>
    <definedName name="again2" localSheetId="0" hidden="1">{"Data Worksheet",#N/A,FALSE,"CAREY97"}</definedName>
    <definedName name="again2" hidden="1">{"Data Worksheet",#N/A,FALSE,"CAREY97"}</definedName>
    <definedName name="age1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DDATABASE" localSheetId="0" hidden="1">{#N/A,#N/A,FALSE,"970301";#N/A,#N/A,FALSE,"970302";#N/A,#N/A,FALSE,"970303";#N/A,#N/A,FALSE,"970304";#N/A,#N/A,FALSE,"COM1";#N/A,#N/A,FALSE,"COM2"}</definedName>
    <definedName name="AGEDDATABASE" hidden="1">{#N/A,#N/A,FALSE,"970301";#N/A,#N/A,FALSE,"970302";#N/A,#N/A,FALSE,"970303";#N/A,#N/A,FALSE,"970304";#N/A,#N/A,FALSE,"COM1";#N/A,#N/A,FALSE,"COM2"}</definedName>
    <definedName name="AGEDDATABASH" localSheetId="0" hidden="1">{#N/A,#N/A,FALSE,"970301";#N/A,#N/A,FALSE,"970302";#N/A,#N/A,FALSE,"970303";#N/A,#N/A,FALSE,"970304";#N/A,#N/A,FALSE,"COM1";#N/A,#N/A,FALSE,"COM2"}</definedName>
    <definedName name="AGEDDATABASH" hidden="1">{#N/A,#N/A,FALSE,"970301";#N/A,#N/A,FALSE,"970302";#N/A,#N/A,FALSE,"970303";#N/A,#N/A,FALSE,"970304";#N/A,#N/A,FALSE,"COM1";#N/A,#N/A,FALSE,"COM2"}</definedName>
    <definedName name="age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hsfhsfghsfgf" hidden="1">#REF!</definedName>
    <definedName name="agng" localSheetId="0" hidden="1">{#N/A,#N/A,FALSE,"Aging Summary";#N/A,#N/A,FALSE,"Ratio Analysis";#N/A,#N/A,FALSE,"Test 120 Day Accts";#N/A,#N/A,FALSE,"Tickmarks"}</definedName>
    <definedName name="agng" hidden="1">{#N/A,#N/A,FALSE,"Aging Summary";#N/A,#N/A,FALSE,"Ratio Analysis";#N/A,#N/A,FALSE,"Test 120 Day Accts";#N/A,#N/A,FALSE,"Tickmarks"}</definedName>
    <definedName name="agrf" localSheetId="0" hidden="1">{#N/A,#N/A,FALSE,"970301";#N/A,#N/A,FALSE,"970302";#N/A,#N/A,FALSE,"970303";#N/A,#N/A,FALSE,"970304";#N/A,#N/A,FALSE,"COM1";#N/A,#N/A,FALSE,"COM2"}</definedName>
    <definedName name="agrf" hidden="1">{#N/A,#N/A,FALSE,"970301";#N/A,#N/A,FALSE,"970302";#N/A,#N/A,FALSE,"970303";#N/A,#N/A,FALSE,"970304";#N/A,#N/A,FALSE,"COM1";#N/A,#N/A,FALSE,"COM2"}</definedName>
    <definedName name="ai" hidden="1">#REF!</definedName>
    <definedName name="ajbo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b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ajs" hidden="1">{#N/A,#N/A,FALSE,"DIR-REP";#N/A,#N/A,FALSE,"AUD-REPORT";#N/A,#N/A,FALSE,"P7L&amp;BS";#N/A,#N/A,FALSE,"NOTES";#N/A,#N/A,FALSE,"FA";#N/A,#N/A,FALSE,"NOTES (2)";#N/A,#N/A,FALSE,"Schedule  IV";#N/A,#N/A,FALSE,"Schedule V"}</definedName>
    <definedName name="ajseo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jse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ke" hidden="1">#REF!</definedName>
    <definedName name="akjsal" hidden="1">#REF!</definedName>
    <definedName name="ak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la" hidden="1">#REF!</definedName>
    <definedName name="alskl" hidden="1">#REF!</definedName>
    <definedName name="aMBER" localSheetId="0" hidden="1">{"interim 20",#N/A,TRUE,"Interim";"landsale 20",#N/A,TRUE,"LandSale";"noi 20",#N/A,TRUE,"NOI";"bldg sale 20",#N/A,TRUE,"BldgSale";"aff hsg",#N/A,TRUE,"AffHsg"}</definedName>
    <definedName name="aMBER" hidden="1">{"interim 20",#N/A,TRUE,"Interim";"landsale 20",#N/A,TRUE,"LandSale";"noi 20",#N/A,TRUE,"NOI";"bldg sale 20",#N/A,TRUE,"BldgSale";"aff hsg",#N/A,TRUE,"AffHsg"}</definedName>
    <definedName name="ana" localSheetId="0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ana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Analogues" localSheetId="0" hidden="1">{#N/A,#N/A,FALSE,"pop.hh";#N/A,#N/A,FALSE,"age.dist";#N/A,#N/A,FALSE,"hh.income";#N/A,#N/A,FALSE,"hh.chars"}</definedName>
    <definedName name="Analogues" hidden="1">{#N/A,#N/A,FALSE,"pop.hh";#N/A,#N/A,FALSE,"age.dist";#N/A,#N/A,FALSE,"hh.income";#N/A,#N/A,FALSE,"hh.chars"}</definedName>
    <definedName name="ANALSIS._.9511" localSheetId="0" hidden="1">{#N/A,#N/A,FALSE,"ABB HOLDING LTD"}</definedName>
    <definedName name="ANALSIS._.9511" hidden="1">{#N/A,#N/A,FALSE,"ABB HOLDING LTD"}</definedName>
    <definedName name="anna" localSheetId="0" hidden="1">{"Area1",#N/A,TRUE,"Obiettivo";"Area2",#N/A,TRUE,"Dati per Direzione"}</definedName>
    <definedName name="anna" hidden="1">{"Area1",#N/A,TRUE,"Obiettivo";"Area2",#N/A,TRUE,"Dati per Direzione"}</definedName>
    <definedName name="annual1" localSheetId="0" hidden="1">{#N/A,#N/A,FALSE,"earnings"}</definedName>
    <definedName name="annual1" hidden="1">{#N/A,#N/A,FALSE,"earnings"}</definedName>
    <definedName name="anscount" hidden="1">1</definedName>
    <definedName name="anuj" localSheetId="0" hidden="1">{#N/A,#N/A,FALSE,"SMT1";#N/A,#N/A,FALSE,"SMT2";#N/A,#N/A,FALSE,"Summary";#N/A,#N/A,FALSE,"Graphs";#N/A,#N/A,FALSE,"4 Panel"}</definedName>
    <definedName name="anuj" hidden="1">{#N/A,#N/A,FALSE,"SMT1";#N/A,#N/A,FALSE,"SMT2";#N/A,#N/A,FALSE,"Summary";#N/A,#N/A,FALSE,"Graphs";#N/A,#N/A,FALSE,"4 Panel"}</definedName>
    <definedName name="aosl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wa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ow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pp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e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q" localSheetId="0" hidden="1">{"M2aPrint",#N/A,FALSE,"M2a"}</definedName>
    <definedName name="aq" hidden="1">{"M2aPrint",#N/A,FALSE,"M2a"}</definedName>
    <definedName name="aqwc" hidden="1">#REF!</definedName>
    <definedName name="AR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e" localSheetId="0" hidden="1">{#N/A,#N/A,FALSE,"Sheet1"}</definedName>
    <definedName name="are" hidden="1">{#N/A,#N/A,FALSE,"Sheet1"}</definedName>
    <definedName name="Area_RepDate" hidden="1">#REF!</definedName>
    <definedName name="Area_RepDate1" hidden="1">#REF!</definedName>
    <definedName name="Area_RepDuration" hidden="1">#REF!</definedName>
    <definedName name="Area_RepDuration1" hidden="1">#REF!</definedName>
    <definedName name="Area_UnitId" hidden="1">#REF!</definedName>
    <definedName name="Area_UnitName2" hidden="1">#REF!</definedName>
    <definedName name="arew" localSheetId="0" hidden="1">{"cap_structure",#N/A,FALSE,"Graph-Mkt Cap";"price",#N/A,FALSE,"Graph-Price";"ebit",#N/A,FALSE,"Graph-EBITDA";"ebitda",#N/A,FALSE,"Graph-EBITDA"}</definedName>
    <definedName name="arew" hidden="1">{"cap_structure",#N/A,FALSE,"Graph-Mkt Cap";"price",#N/A,FALSE,"Graph-Price";"ebit",#N/A,FALSE,"Graph-EBITDA";"ebitda",#N/A,FALSE,"Graph-EBITDA"}</definedName>
    <definedName name="arg" localSheetId="0" hidden="1">{"inputs raw data",#N/A,TRUE,"INPUT"}</definedName>
    <definedName name="arg" hidden="1">{"inputs raw data",#N/A,TRUE,"INPUT"}</definedName>
    <definedName name="art" localSheetId="0" hidden="1">{"First Page",#N/A,FALSE,"Surfactants LBO";"Second Page",#N/A,FALSE,"Surfactants LBO"}</definedName>
    <definedName name="art" hidden="1">{"First Page",#N/A,FALSE,"Surfactants LBO";"Second Page",#N/A,FALSE,"Surfactants LBO"}</definedName>
    <definedName name="Artems" localSheetId="0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localSheetId="0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localSheetId="0" hidden="1">{"FCB_ALL",#N/A,FALSE,"FCB"}</definedName>
    <definedName name="as" hidden="1">{"FCB_ALL",#N/A,FALSE,"FCB"}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4</definedName>
    <definedName name="AS2ReportLS" localSheetId="0" hidden="1">2</definedName>
    <definedName name="AS2ReportLS" hidden="1">1</definedName>
    <definedName name="AS2SyncStepLS" localSheetId="0" hidden="1">3</definedName>
    <definedName name="AS2SyncStepLS" hidden="1">0</definedName>
    <definedName name="AS2VersionLS" hidden="1">300</definedName>
    <definedName name="ASaQSS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aQSS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asdasd" localSheetId="0" hidden="1">{"Variance Q4",#N/A,FALSE,"Var"}</definedName>
    <definedName name="asasdasd" hidden="1">{"Variance Q4",#N/A,FALSE,"Var"}</definedName>
    <definedName name="ascl" localSheetId="0" hidden="1">{#N/A,#N/A,FALSE,"AOP Summary";#N/A,#N/A,FALSE,"E.C. Reports";#N/A,#N/A,FALSE,"SADA";#N/A,#N/A,FALSE,"SADA VARIANCE";#N/A,#N/A,FALSE,"Market Share";#N/A,#N/A,FALSE,"Fisher Data"}</definedName>
    <definedName name="ascl" hidden="1">{#N/A,#N/A,FALSE,"AOP Summary";#N/A,#N/A,FALSE,"E.C. Reports";#N/A,#N/A,FALSE,"SADA";#N/A,#N/A,FALSE,"SADA VARIANCE";#N/A,#N/A,FALSE,"Market Share";#N/A,#N/A,FALSE,"Fisher Data"}</definedName>
    <definedName name="asda" localSheetId="0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adasd" hidden="1">#REF!</definedName>
    <definedName name="asdafsdf" hidden="1">#REF!</definedName>
    <definedName name="asdasd" localSheetId="0" hidden="1">{#N/A,#N/A,TRUE,"Acquirer_Cases_Input";#N/A,#N/A,TRUE,"Acquirer_Input";#N/A,#N/A,TRUE,"Acquirer"}</definedName>
    <definedName name="asdasd" hidden="1">{#N/A,#N/A,TRUE,"Acquirer_Cases_Input";#N/A,#N/A,TRUE,"Acquirer_Input";#N/A,#N/A,TRUE,"Acquirer"}</definedName>
    <definedName name="asdasdasd" localSheetId="0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asdasdasd" hidden="1">#REF!</definedName>
    <definedName name="asdasddfguer" hidden="1">#REF!</definedName>
    <definedName name="asddas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da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2" localSheetId="0" hidden="1">{#N/A,#N/A,FALSE,"Mill 5"}</definedName>
    <definedName name="asdf2" hidden="1">{#N/A,#N/A,FALSE,"Mill 5"}</definedName>
    <definedName name="asdf45" localSheetId="0" hidden="1">{#N/A,#N/A,FALSE,"SUMMARY";#N/A,#N/A,FALSE,"DETAIL";#N/A,#N/A,FALSE,"VARIANCE"}</definedName>
    <definedName name="asdf45" hidden="1">{#N/A,#N/A,FALSE,"SUMMARY";#N/A,#N/A,FALSE,"DETAIL";#N/A,#N/A,FALSE,"VARIANCE"}</definedName>
    <definedName name="asdfadg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faf" localSheetId="0" hidden="1">{"M6Print",#N/A,FALSE,"M6";"M6_1Print",#N/A,FALSE,"M6_1";"M6_2Print",#N/A,FALSE,"M6_2"}</definedName>
    <definedName name="asdfafaf" hidden="1">{"M6Print",#N/A,FALSE,"M6";"M6_1Print",#N/A,FALSE,"M6_1";"M6_2Print",#N/A,FALSE,"M6_2"}</definedName>
    <definedName name="asdfasd" localSheetId="0" hidden="1">{"cap_structure",#N/A,FALSE,"Graph-Mkt Cap";"price",#N/A,FALSE,"Graph-Price";"ebit",#N/A,FALSE,"Graph-EBITDA";"ebitda",#N/A,FALSE,"Graph-EBITDA"}</definedName>
    <definedName name="asdfasd" hidden="1">{"cap_structure",#N/A,FALSE,"Graph-Mkt Cap";"price",#N/A,FALSE,"Graph-Price";"ebit",#N/A,FALSE,"Graph-EBITDA";"ebitda",#N/A,FALSE,"Graph-EBITDA"}</definedName>
    <definedName name="asdfasdf" localSheetId="0" hidden="1">{"inputs raw data",#N/A,TRUE,"INPUT"}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as" localSheetId="0" hidden="1">{#N/A,#N/A,FALSE,"Sheet1";#N/A,#N/A,FALSE,"Sheet2";#N/A,#N/A,FALSE,"Sheet3";#N/A,#N/A,FALSE,"Sheet4";#N/A,#N/A,FALSE,"Sheet5";#N/A,#N/A,FALSE,"Sheet6"}</definedName>
    <definedName name="asdfasdfas" hidden="1">{#N/A,#N/A,FALSE,"Sheet1";#N/A,#N/A,FALSE,"Sheet2";#N/A,#N/A,FALSE,"Sheet3";#N/A,#N/A,FALSE,"Sheet4";#N/A,#N/A,FALSE,"Sheet5";#N/A,#N/A,FALSE,"Sheet6"}</definedName>
    <definedName name="asdfasdfasd" localSheetId="0" hidden="1">{"ReportTop",#N/A,FALSE,"report top"}</definedName>
    <definedName name="asdfasdfasd" hidden="1">{"ReportTop",#N/A,FALSE,"report top"}</definedName>
    <definedName name="asdfasdre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d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e" localSheetId="0" hidden="1">{"QuarterLC",#N/A,FALSE,"LOCALwithADJ";"QuarterUSD",#N/A,FALSE,"USwithADJ"}</definedName>
    <definedName name="asdfase" hidden="1">{"QuarterLC",#N/A,FALSE,"LOCALwithADJ";"QuarterUSD",#N/A,FALSE,"USwithADJ"}</definedName>
    <definedName name="asdfdd" localSheetId="0" hidden="1">{"mgmt forecast",#N/A,FALSE,"Mgmt Forecast";"dcf table",#N/A,FALSE,"Mgmt Forecast";"sensitivity",#N/A,FALSE,"Mgmt Forecast";"table inputs",#N/A,FALSE,"Mgmt Forecast";"calculations",#N/A,FALSE,"Mgmt Forecast"}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g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sdfg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sdfsadf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sdfsadf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sdh" localSheetId="0" hidden="1">{"client cfbs",#N/A,FALSE,"Client"}</definedName>
    <definedName name="asdh" hidden="1">{"client cfbs",#N/A,FALSE,"Client"}</definedName>
    <definedName name="asdsf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sds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sdtf" localSheetId="0" hidden="1">{"'Standalone List Price Trends'!$A$1:$X$56"}</definedName>
    <definedName name="asdtf" hidden="1">{"'Standalone List Price Trends'!$A$1:$X$56"}</definedName>
    <definedName name="aset" localSheetId="0" hidden="1">{#N/A,#N/A,FALSE,"Summary";#N/A,#N/A,FALSE,"Month";#N/A,#N/A,FALSE,"YTD";#N/A,#N/A,FALSE,"Charts"}</definedName>
    <definedName name="aset" hidden="1">{#N/A,#N/A,FALSE,"Summary";#N/A,#N/A,FALSE,"Month";#N/A,#N/A,FALSE,"YTD";#N/A,#N/A,FALSE,"Charts"}</definedName>
    <definedName name="asfads" localSheetId="0" hidden="1">{#N/A,#N/A,FALSE,"FREEMAN";#N/A,#N/A,FALSE,"STEPHEN";#N/A,#N/A,FALSE,"VICTOR"}</definedName>
    <definedName name="asfads" hidden="1">{#N/A,#N/A,FALSE,"FREEMAN";#N/A,#N/A,FALSE,"STEPHEN";#N/A,#N/A,FALSE,"VICTOR"}</definedName>
    <definedName name="asfasdf" hidden="1">#REF!</definedName>
    <definedName name="asfdgsdfg" localSheetId="0" hidden="1">{"inputs raw data",#N/A,TRUE,"INPUT"}</definedName>
    <definedName name="asfdgsdfg" hidden="1">{"inputs raw data",#N/A,TRUE,"INPUT"}</definedName>
    <definedName name="asfs0" localSheetId="0" hidden="1">{#N/A,#N/A,FALSE,"AOP Summary";#N/A,#N/A,FALSE,"E.C. Reports";#N/A,#N/A,FALSE,"SADA";#N/A,#N/A,FALSE,"SADA VARIANCE";#N/A,#N/A,FALSE,"Market Share";#N/A,#N/A,FALSE,"Fisher Data"}</definedName>
    <definedName name="asfs0" hidden="1">{#N/A,#N/A,FALSE,"AOP Summary";#N/A,#N/A,FALSE,"E.C. Reports";#N/A,#N/A,FALSE,"SADA";#N/A,#N/A,FALSE,"SADA VARIANCE";#N/A,#N/A,FALSE,"Market Share";#N/A,#N/A,FALSE,"Fisher Data"}</definedName>
    <definedName name="asg" localSheetId="0" hidden="1">{#N/A,#N/A,FALSE,"Summary";#N/A,#N/A,FALSE,"Month";#N/A,#N/A,FALSE,"YTD";#N/A,#N/A,FALSE,"Charts"}</definedName>
    <definedName name="asg" hidden="1">{#N/A,#N/A,FALSE,"Summary";#N/A,#N/A,FALSE,"Month";#N/A,#N/A,FALSE,"YTD";#N/A,#N/A,FALSE,"Charts"}</definedName>
    <definedName name="asggdasgasdg" localSheetId="0" hidden="1">{"'Standalone List Price Trends'!$A$1:$X$56"}</definedName>
    <definedName name="asggdasgasdg" hidden="1">{"'Standalone List Price Trends'!$A$1:$X$56"}</definedName>
    <definedName name="asgsdfg" localSheetId="0" hidden="1">{#N/A,#N/A,FALSE,"Detail";#N/A,#N/A,FALSE,"%s";#N/A,#N/A,FALSE,"Fund I";#N/A,#N/A,FALSE,"Fund II ";#N/A,#N/A,FALSE,"Fund III";#N/A,#N/A,FALSE,"public companies"}</definedName>
    <definedName name="asgsdfg" hidden="1">{#N/A,#N/A,FALSE,"Detail";#N/A,#N/A,FALSE,"%s";#N/A,#N/A,FALSE,"Fund I";#N/A,#N/A,FALSE,"Fund II ";#N/A,#N/A,FALSE,"Fund III";#N/A,#N/A,FALSE,"public companies"}</definedName>
    <definedName name="asngfat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s" localSheetId="0" hidden="1">{#N/A,#N/A,TRUE,"COVER";#N/A,#N/A,TRUE,"DIR";#N/A,#N/A,TRUE,"AUDIT"}</definedName>
    <definedName name="ass" hidden="1">{#N/A,#N/A,TRUE,"COVER";#N/A,#N/A,TRUE,"DIR";#N/A,#N/A,TRUE,"AUDIT"}</definedName>
    <definedName name="ass.all" localSheetId="0" hidden="1">{#N/A,#N/A,FALSE,"cpt"}</definedName>
    <definedName name="ass.all" hidden="1">{#N/A,#N/A,FALSE,"cpt"}</definedName>
    <definedName name="ass2.all" localSheetId="0" hidden="1">{#N/A,#N/A,FALSE,"cpt"}</definedName>
    <definedName name="ass2.all" hidden="1">{#N/A,#N/A,FALSE,"cpt"}</definedName>
    <definedName name="assd" localSheetId="0" hidden="1">{#N/A,#N/A,FALSE,"Fin'l Stmts.";#N/A,#N/A,FALSE,"PCA";#N/A,#N/A,FALSE,"Inc. Alloc.";#N/A,#N/A,FALSE,"Mgmt. Fee";#N/A,#N/A,FALSE,"NV Interest";#N/A,#N/A,FALSE,"Expenses";#N/A,#N/A,FALSE,"Acct. Pay.";#N/A,#N/A,FALSE,"Org. Exp."}</definedName>
    <definedName name="assd" hidden="1">{#N/A,#N/A,FALSE,"Fin'l Stmts.";#N/A,#N/A,FALSE,"PCA";#N/A,#N/A,FALSE,"Inc. Alloc.";#N/A,#N/A,FALSE,"Mgmt. Fee";#N/A,#N/A,FALSE,"NV Interest";#N/A,#N/A,FALSE,"Expenses";#N/A,#N/A,FALSE,"Acct. Pay.";#N/A,#N/A,FALSE,"Org. Exp."}</definedName>
    <definedName name="assddd" localSheetId="0" hidden="1">{#N/A,#N/A,FALSE,"Fin'l Stmts";#N/A,#N/A,FALSE,"Inc Alloc";#N/A,#N/A,FALSE,"PCA";#N/A,#N/A,FALSE,"Acct. Pay";#N/A,#N/A,FALSE,"Expense";#N/A,#N/A,FALSE,"Mgt Fee";#N/A,#N/A,FALSE,"Org Exp";#N/A,#N/A,FALSE,"NV INTEREST"}</definedName>
    <definedName name="assddd" hidden="1">{#N/A,#N/A,FALSE,"Fin'l Stmts";#N/A,#N/A,FALSE,"Inc Alloc";#N/A,#N/A,FALSE,"PCA";#N/A,#N/A,FALSE,"Acct. Pay";#N/A,#N/A,FALSE,"Expense";#N/A,#N/A,FALSE,"Mgt Fee";#N/A,#N/A,FALSE,"Org Exp";#N/A,#N/A,FALSE,"NV INTEREST"}</definedName>
    <definedName name="assl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ss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assss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Assumption" localSheetId="0" hidden="1">{#N/A,#N/A,FALSE,"ExitStratigy"}</definedName>
    <definedName name="Assumption" hidden="1">{#N/A,#N/A,FALSE,"ExitStratigy"}</definedName>
    <definedName name="Assumptios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y" localSheetId="0" hidden="1">{#N/A,#N/A,FALSE,"Summary";#N/A,#N/A,FALSE,"Month";#N/A,#N/A,FALSE,"YTD";#N/A,#N/A,FALSE,"Charts"}</definedName>
    <definedName name="asy" hidden="1">{#N/A,#N/A,FALSE,"Summary";#N/A,#N/A,FALSE,"Month";#N/A,#N/A,FALSE,"YTD";#N/A,#N/A,FALSE,"Charts"}</definedName>
    <definedName name="atewr7u" localSheetId="0" hidden="1">{#N/A,#N/A,FALSE,"Summary";#N/A,#N/A,FALSE,"Month";#N/A,#N/A,FALSE,"YTD";#N/A,#N/A,FALSE,"Charts"}</definedName>
    <definedName name="atewr7u" hidden="1">{#N/A,#N/A,FALSE,"Summary";#N/A,#N/A,FALSE,"Month";#N/A,#N/A,FALSE,"YTD";#N/A,#N/A,FALSE,"Charts"}</definedName>
    <definedName name="ATPCORR_DLG_RESULTS" localSheetId="0" hidden="1">{2;#N/A;"R8C4:R8C18";#N/A;"R6C4:R6C18";#N/A;1;#N/A;#N/A;FALSE;#N/A;#N/A;#N/A}</definedName>
    <definedName name="ATPCORR_DLG_RESULTS" hidden="1">{2;#N/A;"R8C4:R8C18";#N/A;"R6C4:R6C18";#N/A;1;#N/A;#N/A;FALSE;#N/A;#N/A;#N/A}</definedName>
    <definedName name="Audit" hidden="1">#REF!</definedName>
    <definedName name="AuraStyleDefaultsReset" hidden="1">#N/A</definedName>
    <definedName name="av" hidden="1">#REF!</definedName>
    <definedName name="avdd" localSheetId="0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ve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RAGE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VERAG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we" localSheetId="0" hidden="1">{#N/A,#N/A,FALSE,"COVER";#N/A,#N/A,FALSE,"Index";#N/A,#N/A,FALSE,"Non-Earning";#N/A,#N/A,FALSE,"Commercial";#N/A,#N/A,FALSE,"Detailed"}</definedName>
    <definedName name="awe" hidden="1">{#N/A,#N/A,FALSE,"COVER";#N/A,#N/A,FALSE,"Index";#N/A,#N/A,FALSE,"Non-Earning";#N/A,#N/A,FALSE,"Commercial";#N/A,#N/A,FALSE,"Detailed"}</definedName>
    <definedName name="awer" localSheetId="0" hidden="1">{"ProjLC",#N/A,FALSE,"LOCALwithADJ";"ProjUSD",#N/A,FALSE,"USwithADJ"}</definedName>
    <definedName name="AWER" hidden="1">#REF!</definedName>
    <definedName name="awerqaasdf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localSheetId="0" hidden="1">{#N/A,#N/A,FALSE,"ORIX CSC"}</definedName>
    <definedName name="awert" hidden="1">{#N/A,#N/A,FALSE,"ORIX CSC"}</definedName>
    <definedName name="awp" hidden="1">#REF!</definedName>
    <definedName name="aze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z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zs.a" localSheetId="0" hidden="1">{"Corp. Profile",#N/A,FALSE,"Corporate Profile"}</definedName>
    <definedName name="azs.a" hidden="1">{"Corp. Profile",#N/A,FALSE,"Corporate Profile"}</definedName>
    <definedName name="azs.a_old" localSheetId="0" hidden="1">{"Corp. Profile",#N/A,FALSE,"Corporate Profile"}</definedName>
    <definedName name="azs.a_old" hidden="1">{"Corp. Profile",#N/A,FALSE,"Corporate Profile"}</definedName>
    <definedName name="azz.corrporate" localSheetId="0" hidden="1">{"Corporate",#N/A,FALSE,"Corporate Profile"}</definedName>
    <definedName name="azz.corrporate" hidden="1">{"Corporate",#N/A,FALSE,"Corporate Profile"}</definedName>
    <definedName name="azz.corrporate_old" localSheetId="0" hidden="1">{"Corporate",#N/A,FALSE,"Corporate Profile"}</definedName>
    <definedName name="azz.corrporate_old" hidden="1">{"Corporate",#N/A,FALSE,"Corporate Profile"}</definedName>
    <definedName name="B1.1" hidden="1">#REF!</definedName>
    <definedName name="backup" localSheetId="0" hidden="1">{#N/A,#N/A,TRUE,"KEY DATA";#N/A,#N/A,TRUE,"KEY DATA Base Case";#N/A,#N/A,TRUE,"JULY";#N/A,#N/A,TRUE,"AUG";#N/A,#N/A,TRUE,"SEPT";#N/A,#N/A,TRUE,"3Q"}</definedName>
    <definedName name="backup" hidden="1">{#N/A,#N/A,TRUE,"KEY DATA";#N/A,#N/A,TRUE,"KEY DATA Base Case";#N/A,#N/A,TRUE,"JULY";#N/A,#N/A,TRUE,"AUG";#N/A,#N/A,TRUE,"SEPT";#N/A,#N/A,TRUE,"3Q"}</definedName>
    <definedName name="backup." localSheetId="0" hidden="1">{#N/A,#N/A,TRUE,"KEY DATA";#N/A,#N/A,TRUE,"KEY DATA Base Case";#N/A,#N/A,TRUE,"JULY";#N/A,#N/A,TRUE,"AUG";#N/A,#N/A,TRUE,"SEPT";#N/A,#N/A,TRUE,"3Q"}</definedName>
    <definedName name="backup." hidden="1">{#N/A,#N/A,TRUE,"KEY DATA";#N/A,#N/A,TRUE,"KEY DATA Base Case";#N/A,#N/A,TRUE,"JULY";#N/A,#N/A,TRUE,"AUG";#N/A,#N/A,TRUE,"SEPT";#N/A,#N/A,TRUE,"3Q"}</definedName>
    <definedName name="Balance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miles" localSheetId="0" hidden="1">{"Cuenta 21 (página 1)",#N/A,FALSE,"21 (1)"}</definedName>
    <definedName name="Balancemiles" hidden="1">{"Cuenta 21 (página 1)",#N/A,FALSE,"21 (1)"}</definedName>
    <definedName name="balancemiles2" localSheetId="0" hidden="1">{"Cuenta 21 (página 1)",#N/A,FALSE,"21 (1)"}</definedName>
    <definedName name="balancemiles2" hidden="1">{"Cuenta 21 (página 1)",#N/A,FALSE,"21 (1)"}</definedName>
    <definedName name="BALL" localSheetId="0" hidden="1">{#N/A,#N/A,FALSE,"TAXC.INDEX";#N/A,#N/A,FALSE,"Schedule I";#N/A,#N/A,FALSE,"Schedule  II";#N/A,#N/A,FALSE,"Schedule III"}</definedName>
    <definedName name="BALL" hidden="1">{#N/A,#N/A,FALSE,"TAXC.INDEX";#N/A,#N/A,FALSE,"Schedule I";#N/A,#N/A,FALSE,"Schedule  II";#N/A,#N/A,FALSE,"Schedule III"}</definedName>
    <definedName name="bb" localSheetId="0" hidden="1">{#N/A,#N/A,FALSE,"Virgin Flightdeck"}</definedName>
    <definedName name="bb" hidden="1">{#N/A,#N/A,FALSE,"Virgin Flightdeck"}</definedName>
    <definedName name="bbbbdv" localSheetId="0" hidden="1">{"AllAnnualSummariesSheet",#N/A,TRUE,"Annual Summaries"}</definedName>
    <definedName name="bbbbdv" hidden="1">{"AllAnnualSummariesSheet",#N/A,TRUE,"Annual Summaries"}</definedName>
    <definedName name="BBBdv" localSheetId="0" hidden="1">{"AllAnnualSummariesSheet",#N/A,TRUE,"Annual Summaries"}</definedName>
    <definedName name="BBBdv" hidden="1">{"AllAnnualSummariesSheet",#N/A,TRUE,"Annual Summaries"}</definedName>
    <definedName name="bc" localSheetId="0" hidden="1">{"M5Print",#N/A,FALSE,"M5"}</definedName>
    <definedName name="bc" hidden="1">{"M5Print",#N/A,FALSE,"M5"}</definedName>
    <definedName name="bcbcfbr" localSheetId="0" hidden="1">{0,0,"",0}</definedName>
    <definedName name="bcbcfbr" hidden="1">{0,0,"",0}</definedName>
    <definedName name="bdbfbfdc" localSheetId="0" hidden="1">{0,0,0,0}</definedName>
    <definedName name="bdbfbfdc" hidden="1">{0,0,0,0}</definedName>
    <definedName name="beacua" localSheetId="0" hidden="1">{"Headcount Worksheet",#N/A,FALSE,"HEADCOUNT"}</definedName>
    <definedName name="beacua" hidden="1">{"Headcount Worksheet",#N/A,FALSE,"HEADCOUNT"}</definedName>
    <definedName name="Bear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ijing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Beijing" hidden="1">{#N/A,#N/A,FALSE,"DIR-REP";#N/A,#N/A,FALSE,"AUD-REPORT";#N/A,#N/A,FALSE,"P7L&amp;BS";#N/A,#N/A,FALSE,"NOTES";#N/A,#N/A,FALSE,"FA";#N/A,#N/A,FALSE,"NOTES (2)";#N/A,#N/A,FALSE,"Schedule  IV";#N/A,#N/A,FALSE,"Schedule V"}</definedName>
    <definedName name="belnew" localSheetId="0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lnew1" localSheetId="0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localSheetId="0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enci" hidden="1">#REF!</definedName>
    <definedName name="BEx1SP7EB28BI83AXFU4ZYOVBLKN" hidden="1">#REF!</definedName>
    <definedName name="BEx7DTR2XDG3DJFKI0O72VQ8KWDT" hidden="1">#REF!</definedName>
    <definedName name="BExGQWPP3JTLQHE7MWA5S9LXR0HM" hidden="1">#REF!</definedName>
    <definedName name="BExMPMIUSBJGX67XO7KQKXOJX64Q" hidden="1">#REF!</definedName>
    <definedName name="BExQAG8P8DY86BKHGNO1NRRQ5I1A" hidden="1">#REF!</definedName>
    <definedName name="BExS3MDM3Z7YIKWZI4I3MFJEVQ5Y" hidden="1">#REF!</definedName>
    <definedName name="bfdsb" localSheetId="0" hidden="1">{#N/A,#N/A,FALSE,"OffAdvance";#N/A,#N/A,FALSE,"OffExpRprt";#N/A,#N/A,FALSE,"Entertmnt";#N/A,#N/A,FALSE,"Promotion";#N/A,#N/A,FALSE,"Travelling"}</definedName>
    <definedName name="bfdsb" hidden="1">{#N/A,#N/A,FALSE,"OffAdvance";#N/A,#N/A,FALSE,"OffExpRprt";#N/A,#N/A,FALSE,"Entertmnt";#N/A,#N/A,FALSE,"Promotion";#N/A,#N/A,FALSE,"Travelling"}</definedName>
    <definedName name="bftfdr" localSheetId="0" hidden="1">{#N/A,#N/A,TRUE,"Valeurs99"}</definedName>
    <definedName name="bftfdr" hidden="1">{#N/A,#N/A,TRUE,"Valeurs99"}</definedName>
    <definedName name="BG_Del" hidden="1">15</definedName>
    <definedName name="BG_Ins" hidden="1">4</definedName>
    <definedName name="BG_Mod" hidden="1">6</definedName>
    <definedName name="bh" localSheetId="0" hidden="1">{#N/A,#N/A,FALSE,"Marketing";#N/A,#N/A,FALSE,"Selling";#N/A,#N/A,FALSE,"Promotional";#N/A,#N/A,FALSE,"Advertising"}</definedName>
    <definedName name="bh" hidden="1">{#N/A,#N/A,FALSE,"Marketing";#N/A,#N/A,FALSE,"Selling";#N/A,#N/A,FALSE,"Promotional";#N/A,#N/A,FALSE,"Advertising"}</definedName>
    <definedName name="bhgfdbjg" localSheetId="0" hidden="1">{0,0,0,0}</definedName>
    <definedName name="bhgfdbjg" hidden="1">{0,0,0,0}</definedName>
    <definedName name="bhljkbv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hljkb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ikb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kb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afo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bjafo" hidden="1">{#N/A,#N/A,FALSE,"DIR-REP";#N/A,#N/A,FALSE,"AUD-REPORT";#N/A,#N/A,FALSE,"P7L&amp;BS";#N/A,#N/A,FALSE,"NOTES";#N/A,#N/A,FALSE,"FA";#N/A,#N/A,FALSE,"NOTES (2)";#N/A,#N/A,FALSE,"Schedule  IV";#N/A,#N/A,FALSE,"Schedule V"}</definedName>
    <definedName name="bje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o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afjawe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afjaw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bjos" hidden="1">{#N/A,#N/A,FALSE,"DIR-REP";#N/A,#N/A,FALSE,"AUD-REPORT";#N/A,#N/A,FALSE,"P7L&amp;BS";#N/A,#N/A,FALSE,"NOTES";#N/A,#N/A,FALSE,"FA";#N/A,#N/A,FALSE,"NOTES (2)";#N/A,#N/A,FALSE,"Schedule  IV";#N/A,#N/A,FALSE,"Schedule V"}</definedName>
    <definedName name="bjosds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d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l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e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l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s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s" localSheetId="0" hidden="1">{#N/A,#N/A,TRUE,"COVER";#N/A,#N/A,TRUE,"DIR";#N/A,#N/A,TRUE,"AUDIT"}</definedName>
    <definedName name="bjs" hidden="1">{#N/A,#N/A,TRUE,"COVER";#N/A,#N/A,TRUE,"DIR";#N/A,#N/A,TRUE,"AUDIT"}</definedName>
    <definedName name="bkb" localSheetId="0" hidden="1">{#N/A,#N/A,TRUE,"COVER";#N/A,#N/A,TRUE,"DIR";#N/A,#N/A,TRUE,"AUDIT"}</definedName>
    <definedName name="bkb" hidden="1">{#N/A,#N/A,TRUE,"COVER";#N/A,#N/A,TRUE,"DIR";#N/A,#N/A,TRUE,"AUDIT"}</definedName>
    <definedName name="bkiuygv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bkiuygv" hidden="1">{#N/A,#N/A,FALSE,"DIR-REP";#N/A,#N/A,FALSE,"AUD-REPORT";#N/A,#N/A,FALSE,"P7L&amp;BS";#N/A,#N/A,FALSE,"NOTES";#N/A,#N/A,FALSE,"FA";#N/A,#N/A,FALSE,"NOTES (2)";#N/A,#N/A,FALSE,"Schedule  IV";#N/A,#N/A,FALSE,"Schedule V"}</definedName>
    <definedName name="blah" localSheetId="0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25" hidden="1">#REF!</definedName>
    <definedName name="BLPB126" hidden="1">#REF!</definedName>
    <definedName name="BLPB127" hidden="1">#REF!</definedName>
    <definedName name="BLPB128" hidden="1">#REF!</definedName>
    <definedName name="BLPB129" hidden="1">#REF!</definedName>
    <definedName name="BLPB13" hidden="1">#REF!</definedName>
    <definedName name="BLPB130" hidden="1">#REF!</definedName>
    <definedName name="BLPB131" hidden="1">#REF!</definedName>
    <definedName name="BLPB132" hidden="1">#REF!</definedName>
    <definedName name="BLPB133" hidden="1">#REF!</definedName>
    <definedName name="BLPB134" hidden="1">#REF!</definedName>
    <definedName name="BLPB135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67" hidden="1">#REF!</definedName>
    <definedName name="BLPB68" hidden="1">#REF!</definedName>
    <definedName name="BLPB69" hidden="1">#REF!</definedName>
    <definedName name="BLPB7" hidden="1">#REF!</definedName>
    <definedName name="BLPB70" hidden="1">#REF!</definedName>
    <definedName name="BLPB71" hidden="1">#REF!</definedName>
    <definedName name="BLPB72" hidden="1">#REF!</definedName>
    <definedName name="BLPB73" hidden="1">#REF!</definedName>
    <definedName name="BLPB74" hidden="1">#REF!</definedName>
    <definedName name="BLPB75" hidden="1">#REF!</definedName>
    <definedName name="BLPB76" hidden="1">#REF!</definedName>
    <definedName name="BLPB77" hidden="1">#REF!</definedName>
    <definedName name="BLPB78" hidden="1">#REF!</definedName>
    <definedName name="BLPB8" hidden="1">#REF!</definedName>
    <definedName name="BLPB83" hidden="1">#REF!</definedName>
    <definedName name="BLPB84" hidden="1">#REF!</definedName>
    <definedName name="BLPB85" hidden="1">#REF!</definedName>
    <definedName name="BLPB86" hidden="1">#REF!</definedName>
    <definedName name="BLPB87" hidden="1">#REF!</definedName>
    <definedName name="BLPB9" hidden="1">#REF!</definedName>
    <definedName name="BLPH_2" hidden="1">#REF!</definedName>
    <definedName name="BLPH1" hidden="1">#REF!</definedName>
    <definedName name="BLPH10" hidden="1">#REF!</definedName>
    <definedName name="BLPH100" hidden="1">#REF!</definedName>
    <definedName name="BLPH1000000001" hidden="1">#REF!</definedName>
    <definedName name="BLPH1000000002" hidden="1">#REF!</definedName>
    <definedName name="BLPH1000000003" hidden="1">#REF!</definedName>
    <definedName name="BLPH1000000004" hidden="1">#REF!</definedName>
    <definedName name="BLPH1000000005" hidden="1">#REF!</definedName>
    <definedName name="BLPH1000000006" hidden="1">#REF!</definedName>
    <definedName name="BLPH1000000007" hidden="1">#REF!</definedName>
    <definedName name="BLPH1000000008" hidden="1">#REF!</definedName>
    <definedName name="BLPH1000000009" hidden="1">#REF!</definedName>
    <definedName name="BLPH1000000010" hidden="1">#REF!</definedName>
    <definedName name="BLPH1000000029" hidden="1">#REF!</definedName>
    <definedName name="BLPH1000000030" hidden="1">#REF!</definedName>
    <definedName name="BLPH1000000031" hidden="1">#REF!</definedName>
    <definedName name="BLPH1000000032" hidden="1">#REF!</definedName>
    <definedName name="BLPH1000000033" hidden="1">#REF!</definedName>
    <definedName name="BLPH1000000034" hidden="1">#REF!</definedName>
    <definedName name="BLPH1000000035" hidden="1">#REF!</definedName>
    <definedName name="BLPH1000000036" hidden="1">#REF!</definedName>
    <definedName name="BLPH1000000037" hidden="1">#REF!</definedName>
    <definedName name="BLPH1000000038" hidden="1">#REF!</definedName>
    <definedName name="BLPH1000000039" hidden="1">#REF!</definedName>
    <definedName name="BLPH1000000040" hidden="1">#REF!</definedName>
    <definedName name="BLPH1000000041" hidden="1">#REF!</definedName>
    <definedName name="BLPH1000000042" hidden="1">#REF!</definedName>
    <definedName name="BLPH1000000043" hidden="1">#REF!</definedName>
    <definedName name="BLPH1000000044" hidden="1">#REF!</definedName>
    <definedName name="BLPH1000000045" hidden="1">#REF!</definedName>
    <definedName name="BLPH1000003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0001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87" hidden="1">#REF!</definedName>
    <definedName name="BLPH29" hidden="1">#REF!</definedName>
    <definedName name="BLPH3" hidden="1">#REF!</definedName>
    <definedName name="BLPH30" hidden="1">#REF!</definedName>
    <definedName name="BLPH301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3" hidden="1">#REF!</definedName>
    <definedName name="BLPH99" hidden="1">#REF!</definedName>
    <definedName name="BLPR120040130170512210" hidden="1">#REF!</definedName>
    <definedName name="BLPR120040130170512210_1_8" hidden="1">#REF!</definedName>
    <definedName name="BLPR120040130170512210_2_8" hidden="1">#REF!</definedName>
    <definedName name="BLPR120040130170512210_3_8" hidden="1">#REF!</definedName>
    <definedName name="BLPR120040130170512210_4_8" hidden="1">#REF!</definedName>
    <definedName name="BLPR120040130170512210_5_8" hidden="1">#REF!</definedName>
    <definedName name="BLPR120040130170512210_6_8" hidden="1">#REF!</definedName>
    <definedName name="BLPR120040130170512210_7_8" hidden="1">#REF!</definedName>
    <definedName name="BLPR120040130170512210_8_8" hidden="1">#REF!</definedName>
    <definedName name="BLPR120040205162235653" hidden="1">#REF!</definedName>
    <definedName name="BLPR120040205162235653_1_8" hidden="1">#REF!</definedName>
    <definedName name="BLPR120040205162235653_2_8" hidden="1">#REF!</definedName>
    <definedName name="BLPR120040205162235653_3_8" hidden="1">#REF!</definedName>
    <definedName name="BLPR120040205162235653_4_8" hidden="1">#REF!</definedName>
    <definedName name="BLPR120040205162235653_5_8" hidden="1">#REF!</definedName>
    <definedName name="BLPR120040205162235653_6_8" hidden="1">#REF!</definedName>
    <definedName name="BLPR120040205162235653_7_8" hidden="1">#REF!</definedName>
    <definedName name="BLPR120040205162235653_8_8" hidden="1">#REF!</definedName>
    <definedName name="BLPR1520040130171441887" hidden="1">#REF!</definedName>
    <definedName name="BLPR1520040130171441887_1_8" hidden="1">#REF!</definedName>
    <definedName name="BLPR1520040130171441887_2_8" hidden="1">#REF!</definedName>
    <definedName name="BLPR1520040130171441887_3_8" hidden="1">#REF!</definedName>
    <definedName name="BLPR1520040130171441887_4_8" hidden="1">#REF!</definedName>
    <definedName name="BLPR1520040130171441887_5_8" hidden="1">#REF!</definedName>
    <definedName name="BLPR1520040130171441887_6_8" hidden="1">#REF!</definedName>
    <definedName name="BLPR1520040130171441887_7_8" hidden="1">#REF!</definedName>
    <definedName name="BLPR1520040130171441887_8_8" hidden="1">#REF!</definedName>
    <definedName name="BLPR1820040205165037169" hidden="1">#REF!</definedName>
    <definedName name="BLPR1820040205165037169_1_8" hidden="1">#REF!</definedName>
    <definedName name="BLPR1820040205165037169_2_8" hidden="1">#REF!</definedName>
    <definedName name="BLPR1820040205165037169_3_8" hidden="1">#REF!</definedName>
    <definedName name="BLPR1820040205165037169_4_8" hidden="1">#REF!</definedName>
    <definedName name="BLPR1820040205165037169_5_8" hidden="1">#REF!</definedName>
    <definedName name="BLPR1820040205165037169_6_8" hidden="1">#REF!</definedName>
    <definedName name="BLPR1820040205165037169_7_8" hidden="1">#REF!</definedName>
    <definedName name="BLPR1820040205165037169_8_8" hidden="1">#REF!</definedName>
    <definedName name="BLPR1920040130171513072" hidden="1">#REF!</definedName>
    <definedName name="BLPR1920040130171513072_1_8" hidden="1">#REF!</definedName>
    <definedName name="BLPR1920040130171513072_2_8" hidden="1">#REF!</definedName>
    <definedName name="BLPR1920040130171513072_3_8" hidden="1">#REF!</definedName>
    <definedName name="BLPR1920040130171513072_4_8" hidden="1">#REF!</definedName>
    <definedName name="BLPR1920040130171513072_5_8" hidden="1">#REF!</definedName>
    <definedName name="BLPR1920040130171513072_6_8" hidden="1">#REF!</definedName>
    <definedName name="BLPR1920040130171513072_7_8" hidden="1">#REF!</definedName>
    <definedName name="BLPR1920040130171513072_8_8" hidden="1">#REF!</definedName>
    <definedName name="BLPR220040204201237693" hidden="1">#REF!</definedName>
    <definedName name="BLPR220040204201237693_1_8" hidden="1">#REF!</definedName>
    <definedName name="BLPR220040204201237693_2_8" hidden="1">#REF!</definedName>
    <definedName name="BLPR220040204201237693_3_8" hidden="1">#REF!</definedName>
    <definedName name="BLPR220040204201237693_4_8" hidden="1">#REF!</definedName>
    <definedName name="BLPR220040204201237693_5_8" hidden="1">#REF!</definedName>
    <definedName name="BLPR220040204201237693_6_8" hidden="1">#REF!</definedName>
    <definedName name="BLPR220040204201237693_7_8" hidden="1">#REF!</definedName>
    <definedName name="BLPR220040204201237693_8_8" hidden="1">#REF!</definedName>
    <definedName name="BLPR2220040130171524561" hidden="1">#REF!</definedName>
    <definedName name="BLPR2220040130171524561_1_8" hidden="1">#REF!</definedName>
    <definedName name="BLPR2220040130171524561_2_8" hidden="1">#REF!</definedName>
    <definedName name="BLPR2220040130171524561_3_8" hidden="1">#REF!</definedName>
    <definedName name="BLPR2220040130171524561_4_8" hidden="1">#REF!</definedName>
    <definedName name="BLPR2220040130171524561_5_8" hidden="1">#REF!</definedName>
    <definedName name="BLPR2220040130171524561_6_8" hidden="1">#REF!</definedName>
    <definedName name="BLPR2220040130171524561_7_8" hidden="1">#REF!</definedName>
    <definedName name="BLPR2220040130171524561_8_8" hidden="1">#REF!</definedName>
    <definedName name="BLPR2420040130171533284" hidden="1">#REF!</definedName>
    <definedName name="BLPR2420040130171533284_1_8" hidden="1">#REF!</definedName>
    <definedName name="BLPR2420040130171533284_2_8" hidden="1">#REF!</definedName>
    <definedName name="BLPR2420040130171533284_3_8" hidden="1">#REF!</definedName>
    <definedName name="BLPR2420040130171533284_4_8" hidden="1">#REF!</definedName>
    <definedName name="BLPR2420040130171533284_5_8" hidden="1">#REF!</definedName>
    <definedName name="BLPR2420040130171533284_6_8" hidden="1">#REF!</definedName>
    <definedName name="BLPR2420040130171533284_7_8" hidden="1">#REF!</definedName>
    <definedName name="BLPR2420040130171533284_8_8" hidden="1">#REF!</definedName>
    <definedName name="BLPR2520040130171541287" hidden="1">#REF!</definedName>
    <definedName name="BLPR2520040130171541287_1_8" hidden="1">#REF!</definedName>
    <definedName name="BLPR2520040130171541287_2_8" hidden="1">#REF!</definedName>
    <definedName name="BLPR2520040130171541287_3_8" hidden="1">#REF!</definedName>
    <definedName name="BLPR2520040130171541287_4_8" hidden="1">#REF!</definedName>
    <definedName name="BLPR2520040130171541287_5_8" hidden="1">#REF!</definedName>
    <definedName name="BLPR2520040130171541287_6_8" hidden="1">#REF!</definedName>
    <definedName name="BLPR2520040130171541287_7_8" hidden="1">#REF!</definedName>
    <definedName name="BLPR2520040130171541287_8_8" hidden="1">#REF!</definedName>
    <definedName name="BLPR2620040130171544867" hidden="1">#REF!</definedName>
    <definedName name="BLPR2620040130171544867_1_8" hidden="1">#REF!</definedName>
    <definedName name="BLPR2620040130171544867_2_8" hidden="1">#REF!</definedName>
    <definedName name="BLPR2620040130171544867_3_8" hidden="1">#REF!</definedName>
    <definedName name="BLPR2620040130171544867_4_8" hidden="1">#REF!</definedName>
    <definedName name="BLPR2620040130171544867_5_8" hidden="1">#REF!</definedName>
    <definedName name="BLPR2620040130171544867_6_8" hidden="1">#REF!</definedName>
    <definedName name="BLPR2620040130171544867_7_8" hidden="1">#REF!</definedName>
    <definedName name="BLPR2620040130171544867_8_8" hidden="1">#REF!</definedName>
    <definedName name="BLPR2720040130171547962" hidden="1">#REF!</definedName>
    <definedName name="BLPR2720040130171547962_1_8" hidden="1">#REF!</definedName>
    <definedName name="BLPR2720040130171547962_2_8" hidden="1">#REF!</definedName>
    <definedName name="BLPR2720040130171547962_3_8" hidden="1">#REF!</definedName>
    <definedName name="BLPR2720040130171547962_4_8" hidden="1">#REF!</definedName>
    <definedName name="BLPR2720040130171547962_5_8" hidden="1">#REF!</definedName>
    <definedName name="BLPR2720040130171547962_6_8" hidden="1">#REF!</definedName>
    <definedName name="BLPR2720040130171547962_7_8" hidden="1">#REF!</definedName>
    <definedName name="BLPR2720040130171547962_8_8" hidden="1">#REF!</definedName>
    <definedName name="BLPR2920040130171555449" hidden="1">#REF!</definedName>
    <definedName name="BLPR2920040130171555449_1_8" hidden="1">#REF!</definedName>
    <definedName name="BLPR2920040130171555449_2_8" hidden="1">#REF!</definedName>
    <definedName name="BLPR2920040130171555449_3_8" hidden="1">#REF!</definedName>
    <definedName name="BLPR2920040130171555449_4_8" hidden="1">#REF!</definedName>
    <definedName name="BLPR2920040130171555449_5_8" hidden="1">#REF!</definedName>
    <definedName name="BLPR2920040130171555449_6_8" hidden="1">#REF!</definedName>
    <definedName name="BLPR2920040130171555449_7_8" hidden="1">#REF!</definedName>
    <definedName name="BLPR2920040130171555449_8_8" hidden="1">#REF!</definedName>
    <definedName name="BLPR3020040130171601577" hidden="1">#REF!</definedName>
    <definedName name="BLPR3020040130171601577_1_8" hidden="1">#REF!</definedName>
    <definedName name="BLPR3020040130171601577_2_8" hidden="1">#REF!</definedName>
    <definedName name="BLPR3020040130171601577_3_8" hidden="1">#REF!</definedName>
    <definedName name="BLPR3020040130171601577_4_8" hidden="1">#REF!</definedName>
    <definedName name="BLPR3020040130171601577_5_8" hidden="1">#REF!</definedName>
    <definedName name="BLPR3020040130171601577_6_8" hidden="1">#REF!</definedName>
    <definedName name="BLPR3020040130171601577_7_8" hidden="1">#REF!</definedName>
    <definedName name="BLPR3020040130171601577_8_8" hidden="1">#REF!</definedName>
    <definedName name="BLPR320040204201544761" hidden="1">#REF!</definedName>
    <definedName name="BLPR320040204201544761_1_1" hidden="1">#REF!</definedName>
    <definedName name="BLPR3220040130171610424" hidden="1">#REF!</definedName>
    <definedName name="BLPR3220040130171610424_1_8" hidden="1">#REF!</definedName>
    <definedName name="BLPR3220040130171610424_2_8" hidden="1">#REF!</definedName>
    <definedName name="BLPR3220040130171610424_3_8" hidden="1">#REF!</definedName>
    <definedName name="BLPR3220040130171610424_4_8" hidden="1">#REF!</definedName>
    <definedName name="BLPR3220040130171610424_5_8" hidden="1">#REF!</definedName>
    <definedName name="BLPR3220040130171610424_6_8" hidden="1">#REF!</definedName>
    <definedName name="BLPR3220040130171610424_7_8" hidden="1">#REF!</definedName>
    <definedName name="BLPR3220040130171610424_8_8" hidden="1">#REF!</definedName>
    <definedName name="BLPR3320040130171738961" hidden="1">#REF!</definedName>
    <definedName name="BLPR3320040130171738961_1_8" hidden="1">#REF!</definedName>
    <definedName name="BLPR3320040130171738961_2_8" hidden="1">#REF!</definedName>
    <definedName name="BLPR3320040130171738961_3_8" hidden="1">#REF!</definedName>
    <definedName name="BLPR3320040130171738961_4_8" hidden="1">#REF!</definedName>
    <definedName name="BLPR3320040130171738961_5_8" hidden="1">#REF!</definedName>
    <definedName name="BLPR3320040130171738961_6_8" hidden="1">#REF!</definedName>
    <definedName name="BLPR3320040130171738961_7_8" hidden="1">#REF!</definedName>
    <definedName name="BLPR3320040130171738961_8_8" hidden="1">#REF!</definedName>
    <definedName name="BLPR3420040130171750184" hidden="1">#REF!</definedName>
    <definedName name="BLPR3420040130171750184_1_8" hidden="1">#REF!</definedName>
    <definedName name="BLPR3420040130171750184_2_8" hidden="1">#REF!</definedName>
    <definedName name="BLPR3420040130171750184_3_8" hidden="1">#REF!</definedName>
    <definedName name="BLPR3420040130171750184_4_8" hidden="1">#REF!</definedName>
    <definedName name="BLPR3420040130171750184_5_8" hidden="1">#REF!</definedName>
    <definedName name="BLPR3420040130171750184_6_8" hidden="1">#REF!</definedName>
    <definedName name="BLPR3420040130171750184_7_8" hidden="1">#REF!</definedName>
    <definedName name="BLPR3420040130171750184_8_8" hidden="1">#REF!</definedName>
    <definedName name="BLPR3520040130171814679" hidden="1">#REF!</definedName>
    <definedName name="BLPR3520040130171814679_1_8" hidden="1">#REF!</definedName>
    <definedName name="BLPR3520040130171814679_2_8" hidden="1">#REF!</definedName>
    <definedName name="BLPR3520040130171814679_3_8" hidden="1">#REF!</definedName>
    <definedName name="BLPR3520040130171814679_4_8" hidden="1">#REF!</definedName>
    <definedName name="BLPR3520040130171814679_5_8" hidden="1">#REF!</definedName>
    <definedName name="BLPR3520040130171814679_6_8" hidden="1">#REF!</definedName>
    <definedName name="BLPR3520040130171814679_7_8" hidden="1">#REF!</definedName>
    <definedName name="BLPR3520040130171814679_8_8" hidden="1">#REF!</definedName>
    <definedName name="BLPR3620040130171814679" hidden="1">#REF!</definedName>
    <definedName name="BLPR3620040130171814679_1_8" hidden="1">#REF!</definedName>
    <definedName name="BLPR3620040130171814679_2_8" hidden="1">#REF!</definedName>
    <definedName name="BLPR3620040130171814679_3_8" hidden="1">#REF!</definedName>
    <definedName name="BLPR3620040130171814679_4_8" hidden="1">#REF!</definedName>
    <definedName name="BLPR3620040130171814679_5_8" hidden="1">#REF!</definedName>
    <definedName name="BLPR3620040130171814679_6_8" hidden="1">#REF!</definedName>
    <definedName name="BLPR3620040130171814679_7_8" hidden="1">#REF!</definedName>
    <definedName name="BLPR3620040130171814679_8_8" hidden="1">#REF!</definedName>
    <definedName name="BLPR3720040130171901073" hidden="1">#REF!</definedName>
    <definedName name="BLPR3720040130171901073_1_8" hidden="1">#REF!</definedName>
    <definedName name="BLPR3720040130171901073_2_8" hidden="1">#REF!</definedName>
    <definedName name="BLPR3720040130171901073_3_8" hidden="1">#REF!</definedName>
    <definedName name="BLPR3720040130171901073_4_8" hidden="1">#REF!</definedName>
    <definedName name="BLPR3720040130171901073_5_8" hidden="1">#REF!</definedName>
    <definedName name="BLPR3720040130171901073_6_8" hidden="1">#REF!</definedName>
    <definedName name="BLPR3720040130171901073_7_8" hidden="1">#REF!</definedName>
    <definedName name="BLPR3720040130171901073_8_8" hidden="1">#REF!</definedName>
    <definedName name="BLPR3820040130171905294" hidden="1">#REF!</definedName>
    <definedName name="BLPR3820040130171905294_1_8" hidden="1">#REF!</definedName>
    <definedName name="BLPR3820040130171905294_2_8" hidden="1">#REF!</definedName>
    <definedName name="BLPR3820040130171905294_3_8" hidden="1">#REF!</definedName>
    <definedName name="BLPR3820040130171905294_4_8" hidden="1">#REF!</definedName>
    <definedName name="BLPR3820040130171905294_5_8" hidden="1">#REF!</definedName>
    <definedName name="BLPR3820040130171905294_6_8" hidden="1">#REF!</definedName>
    <definedName name="BLPR3820040130171905294_7_8" hidden="1">#REF!</definedName>
    <definedName name="BLPR3820040130171905294_8_8" hidden="1">#REF!</definedName>
    <definedName name="BLPR3920040130171914282" hidden="1">#REF!</definedName>
    <definedName name="BLPR3920040130171914282_1_8" hidden="1">#REF!</definedName>
    <definedName name="BLPR3920040130171914282_2_8" hidden="1">#REF!</definedName>
    <definedName name="BLPR3920040130171914282_3_8" hidden="1">#REF!</definedName>
    <definedName name="BLPR3920040130171914282_4_8" hidden="1">#REF!</definedName>
    <definedName name="BLPR3920040130171914282_5_8" hidden="1">#REF!</definedName>
    <definedName name="BLPR3920040130171914282_6_8" hidden="1">#REF!</definedName>
    <definedName name="BLPR3920040130171914282_7_8" hidden="1">#REF!</definedName>
    <definedName name="BLPR3920040130171914282_8_8" hidden="1">#REF!</definedName>
    <definedName name="BLPR4020040130171936619" hidden="1">#REF!</definedName>
    <definedName name="BLPR4020040130171936619_1_8" hidden="1">#REF!</definedName>
    <definedName name="BLPR4020040130171936619_2_8" hidden="1">#REF!</definedName>
    <definedName name="BLPR4020040130171936619_3_8" hidden="1">#REF!</definedName>
    <definedName name="BLPR4020040130171936619_4_8" hidden="1">#REF!</definedName>
    <definedName name="BLPR4020040130171936619_5_8" hidden="1">#REF!</definedName>
    <definedName name="BLPR4020040130171936619_6_8" hidden="1">#REF!</definedName>
    <definedName name="BLPR4020040130171936619_7_8" hidden="1">#REF!</definedName>
    <definedName name="BLPR4020040130171936619_8_8" hidden="1">#REF!</definedName>
    <definedName name="BLPR4120040130171947968" hidden="1">#REF!</definedName>
    <definedName name="BLPR4120040130171947968_1_8" hidden="1">#REF!</definedName>
    <definedName name="BLPR4120040130171947968_2_8" hidden="1">#REF!</definedName>
    <definedName name="BLPR4120040130171947968_3_8" hidden="1">#REF!</definedName>
    <definedName name="BLPR4120040130171947968_4_8" hidden="1">#REF!</definedName>
    <definedName name="BLPR4120040130171947968_5_8" hidden="1">#REF!</definedName>
    <definedName name="BLPR4120040130171947968_6_8" hidden="1">#REF!</definedName>
    <definedName name="BLPR4120040130171947968_7_8" hidden="1">#REF!</definedName>
    <definedName name="BLPR4120040130171947968_8_8" hidden="1">#REF!</definedName>
    <definedName name="BLPR420040204201601667" hidden="1">#REF!</definedName>
    <definedName name="BLPR420040204201601667_1_1" hidden="1">#REF!</definedName>
    <definedName name="BLPR420040205162630481" hidden="1">#REF!</definedName>
    <definedName name="BLPR420040205162630481_1_8" hidden="1">#REF!</definedName>
    <definedName name="BLPR420040205162630481_2_8" hidden="1">#REF!</definedName>
    <definedName name="BLPR420040205162630481_3_8" hidden="1">#REF!</definedName>
    <definedName name="BLPR420040205162630481_4_8" hidden="1">#REF!</definedName>
    <definedName name="BLPR420040205162630481_5_8" hidden="1">#REF!</definedName>
    <definedName name="BLPR420040205162630481_6_8" hidden="1">#REF!</definedName>
    <definedName name="BLPR420040205162630481_7_8" hidden="1">#REF!</definedName>
    <definedName name="BLPR420040205162630481_8_8" hidden="1">#REF!</definedName>
    <definedName name="BLPR4220040130171953095" hidden="1">#REF!</definedName>
    <definedName name="BLPR4220040130171953095_1_8" hidden="1">#REF!</definedName>
    <definedName name="BLPR4220040130171953095_2_8" hidden="1">#REF!</definedName>
    <definedName name="BLPR4220040130171953095_3_8" hidden="1">#REF!</definedName>
    <definedName name="BLPR4220040130171953095_4_8" hidden="1">#REF!</definedName>
    <definedName name="BLPR4220040130171953095_5_8" hidden="1">#REF!</definedName>
    <definedName name="BLPR4220040130171953095_6_8" hidden="1">#REF!</definedName>
    <definedName name="BLPR4220040130171953095_7_8" hidden="1">#REF!</definedName>
    <definedName name="BLPR4220040130171953095_8_8" hidden="1">#REF!</definedName>
    <definedName name="BLPR4320040130171958660" hidden="1">#REF!</definedName>
    <definedName name="BLPR4320040130171958660_1_8" hidden="1">#REF!</definedName>
    <definedName name="BLPR4320040130171958660_2_8" hidden="1">#REF!</definedName>
    <definedName name="BLPR4320040130171958660_3_8" hidden="1">#REF!</definedName>
    <definedName name="BLPR4320040130171958660_4_8" hidden="1">#REF!</definedName>
    <definedName name="BLPR4320040130171958660_5_8" hidden="1">#REF!</definedName>
    <definedName name="BLPR4320040130171958660_6_8" hidden="1">#REF!</definedName>
    <definedName name="BLPR4320040130171958660_7_8" hidden="1">#REF!</definedName>
    <definedName name="BLPR4320040130171958660_8_8" hidden="1">#REF!</definedName>
    <definedName name="BLPR4420040130172003115" hidden="1">#REF!</definedName>
    <definedName name="BLPR4420040130172003115_1_8" hidden="1">#REF!</definedName>
    <definedName name="BLPR4420040130172003115_2_8" hidden="1">#REF!</definedName>
    <definedName name="BLPR4420040130172003115_3_8" hidden="1">#REF!</definedName>
    <definedName name="BLPR4420040130172003115_4_8" hidden="1">#REF!</definedName>
    <definedName name="BLPR4420040130172003115_5_8" hidden="1">#REF!</definedName>
    <definedName name="BLPR4420040130172003115_6_8" hidden="1">#REF!</definedName>
    <definedName name="BLPR4420040130172003115_7_8" hidden="1">#REF!</definedName>
    <definedName name="BLPR4420040130172003115_8_8" hidden="1">#REF!</definedName>
    <definedName name="BLPR4520040130172016464" hidden="1">#REF!</definedName>
    <definedName name="BLPR4520040130172016464_1_8" hidden="1">#REF!</definedName>
    <definedName name="BLPR4520040130172016464_2_8" hidden="1">#REF!</definedName>
    <definedName name="BLPR4520040130172016464_3_8" hidden="1">#REF!</definedName>
    <definedName name="BLPR4520040130172016464_4_8" hidden="1">#REF!</definedName>
    <definedName name="BLPR4520040130172016464_5_8" hidden="1">#REF!</definedName>
    <definedName name="BLPR4520040130172016464_6_8" hidden="1">#REF!</definedName>
    <definedName name="BLPR4520040130172016464_7_8" hidden="1">#REF!</definedName>
    <definedName name="BLPR4520040130172016464_8_8" hidden="1">#REF!</definedName>
    <definedName name="BLPR4620040130231314082" hidden="1">#REF!</definedName>
    <definedName name="BLPR4620040130231314082_1_8" hidden="1">#REF!</definedName>
    <definedName name="BLPR4620040130231314082_2_8" hidden="1">#REF!</definedName>
    <definedName name="BLPR4620040130231314082_3_8" hidden="1">#REF!</definedName>
    <definedName name="BLPR4620040130231314082_4_8" hidden="1">#REF!</definedName>
    <definedName name="BLPR4620040130231314082_5_8" hidden="1">#REF!</definedName>
    <definedName name="BLPR4620040130231314082_6_8" hidden="1">#REF!</definedName>
    <definedName name="BLPR4620040130231314082_7_8" hidden="1">#REF!</definedName>
    <definedName name="BLPR4620040130231314082_8_8" hidden="1">#REF!</definedName>
    <definedName name="BLPR520040204201726358" hidden="1">#REF!</definedName>
    <definedName name="BLPR520040204201726358_1_8" hidden="1">#REF!</definedName>
    <definedName name="BLPR520040204201726358_2_8" hidden="1">#REF!</definedName>
    <definedName name="BLPR520040204201726358_3_8" hidden="1">#REF!</definedName>
    <definedName name="BLPR520040204201726358_4_8" hidden="1">#REF!</definedName>
    <definedName name="BLPR520040204201726358_5_8" hidden="1">#REF!</definedName>
    <definedName name="BLPR520040204201726358_6_8" hidden="1">#REF!</definedName>
    <definedName name="BLPR520040204201726358_7_8" hidden="1">#REF!</definedName>
    <definedName name="BLPR520040204201726358_8_8" hidden="1">#REF!</definedName>
    <definedName name="BLPR520040205162639919" hidden="1">#REF!</definedName>
    <definedName name="BLPR520040205162639919_1_8" hidden="1">#REF!</definedName>
    <definedName name="BLPR520040205162639919_2_8" hidden="1">#REF!</definedName>
    <definedName name="BLPR520040205162639919_3_8" hidden="1">#REF!</definedName>
    <definedName name="BLPR520040205162639919_4_8" hidden="1">#REF!</definedName>
    <definedName name="BLPR520040205162639919_5_8" hidden="1">#REF!</definedName>
    <definedName name="BLPR520040205162639919_6_8" hidden="1">#REF!</definedName>
    <definedName name="BLPR520040205162639919_7_8" hidden="1">#REF!</definedName>
    <definedName name="BLPR520040205162639919_8_8" hidden="1">#REF!</definedName>
    <definedName name="blsm" localSheetId="0" hidden="1">{#N/A,#N/A,FALSE,"UTIL Monthly Inc ";#N/A,#N/A,FALSE,"Capital";#N/A,#N/A,FALSE,"UTIL REVENUE";#N/A,#N/A,FALSE,"RM REVENUE";#N/A,#N/A,FALSE,"Manpower";#N/A,#N/A,FALSE,"SI - UTIL";#N/A,#N/A,FALSE,"Sales - Utili"}</definedName>
    <definedName name="blsm" hidden="1">{#N/A,#N/A,FALSE,"UTIL Monthly Inc ";#N/A,#N/A,FALSE,"Capital";#N/A,#N/A,FALSE,"UTIL REVENUE";#N/A,#N/A,FALSE,"RM REVENUE";#N/A,#N/A,FALSE,"Manpower";#N/A,#N/A,FALSE,"SI - UTIL";#N/A,#N/A,FALSE,"Sales - Utili"}</definedName>
    <definedName name="BLUE" localSheetId="0" hidden="1">{#N/A,#N/A,FALSE,"Barranca"}</definedName>
    <definedName name="BLUE1" localSheetId="0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NE_MESSAGES_HIDDEN" hidden="1">#REF!</definedName>
    <definedName name="bnkj" localSheetId="0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nnn" localSheetId="0" hidden="1">{"mgmt forecast",#N/A,FALSE,"Mgmt Forecast";"dcf table",#N/A,FALSE,"Mgmt Forecast";"sensitivity",#N/A,FALSE,"Mgmt Forecast";"table inputs",#N/A,FALSE,"Mgmt Forecast";"calculations",#N/A,FALSE,"Mgmt Forecast"}</definedName>
    <definedName name="bnnn" hidden="1">{"mgmt forecast",#N/A,FALSE,"Mgmt Forecast";"dcf table",#N/A,FALSE,"Mgmt Forecast";"sensitivity",#N/A,FALSE,"Mgmt Forecast";"table inputs",#N/A,FALSE,"Mgmt Forecast";"calculations",#N/A,FALSE,"Mgmt Forecast"}</definedName>
    <definedName name="boel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e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rra" localSheetId="0" hidden="1">{"'TYPE (2)'!$A$1:$Q$76"}</definedName>
    <definedName name="borra" hidden="1">{"'TYPE (2)'!$A$1:$Q$76"}</definedName>
    <definedName name="bo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wl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bowl" hidden="1">{#N/A,#N/A,FALSE,"DIR-REP";#N/A,#N/A,FALSE,"AUD-REPORT";#N/A,#N/A,FALSE,"P7L&amp;BS";#N/A,#N/A,FALSE,"NOTES";#N/A,#N/A,FALSE,"FA";#N/A,#N/A,FALSE,"NOTES (2)";#N/A,#N/A,FALSE,"Schedule  IV";#N/A,#N/A,FALSE,"Schedule V"}</definedName>
    <definedName name="bregeb" localSheetId="0" hidden="1">{#N/A,#N/A,TRUE,"Valeurs99"}</definedName>
    <definedName name="bregeb" hidden="1">{#N/A,#N/A,TRUE,"Valeurs99"}</definedName>
    <definedName name="Brice" localSheetId="0" hidden="1">{#N/A,#N/A,TRUE,"Cover sheet";#N/A,#N/A,TRUE,"INPUTS";#N/A,#N/A,TRUE,"OUTPUTS";#N/A,#N/A,TRUE,"VALUATION"}</definedName>
    <definedName name="Brice" hidden="1">{#N/A,#N/A,TRUE,"Cover sheet";#N/A,#N/A,TRUE,"INPUTS";#N/A,#N/A,TRUE,"OUTPUTS";#N/A,#N/A,TRUE,"VALUATION"}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4_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S4_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S5.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S5.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Sa\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Sa\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SS" localSheetId="0" hidden="1">{"bs",#N/A,FALSE,"SCF"}</definedName>
    <definedName name="BSS" hidden="1">{"bs",#N/A,FALSE,"SCF"}</definedName>
    <definedName name="bs분석" hidden="1">#REF!</definedName>
    <definedName name="budget" localSheetId="0" hidden="1">{#N/A,#N/A,FALSE,"BALANCE SHEET";#N/A,#N/A,FALSE,"P &amp; L (TAX)";#N/A,#N/A,FALSE,"NOTE 1";#N/A,#N/A,FALSE,"NOTE 2,3,4,5,6";#N/A,#N/A,FALSE,"Note 7,8(F.A)";#N/A,#N/A,FALSE,"Note 9,10"}</definedName>
    <definedName name="budget" hidden="1">{#N/A,#N/A,FALSE,"BALANCE SHEET";#N/A,#N/A,FALSE,"P &amp; L (TAX)";#N/A,#N/A,FALSE,"NOTE 1";#N/A,#N/A,FALSE,"NOTE 2,3,4,5,6";#N/A,#N/A,FALSE,"Note 7,8(F.A)";#N/A,#N/A,FALSE,"Note 9,10"}</definedName>
    <definedName name="BUG" localSheetId="0" hidden="1">{#N/A,#N/A,FALSE,"PAGE3";#N/A,#N/A,FALSE,"Pape4";#N/A,#N/A,FALSE,"Page5";#N/A,#N/A,FALSE,"PAGE6";#N/A,#N/A,FALSE,"Page7";#N/A,#N/A,FALSE,"Page8 971&amp;962";#N/A,#N/A,FALSE,"Page8 972&amp;971";#N/A,#N/A,FALSE,"Page9 971&amp;962";#N/A,#N/A,FALSE,"Page9 972&amp;972";#N/A,#N/A,FALSE,"PAGE10";#N/A,#N/A,FALSE,"Page11";#N/A,#N/A,FALSE,"page12";#N/A,#N/A,FALSE,"page13"}</definedName>
    <definedName name="BUG" hidden="1">{#N/A,#N/A,FALSE,"PAGE3";#N/A,#N/A,FALSE,"Pape4";#N/A,#N/A,FALSE,"Page5";#N/A,#N/A,FALSE,"PAGE6";#N/A,#N/A,FALSE,"Page7";#N/A,#N/A,FALSE,"Page8 971&amp;962";#N/A,#N/A,FALSE,"Page8 972&amp;971";#N/A,#N/A,FALSE,"Page9 971&amp;962";#N/A,#N/A,FALSE,"Page9 972&amp;972";#N/A,#N/A,FALSE,"PAGE10";#N/A,#N/A,FALSE,"Page11";#N/A,#N/A,FALSE,"page12";#N/A,#N/A,FALSE,"page13"}</definedName>
    <definedName name="buod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od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c" localSheetId="0" hidden="1">{#N/A,#N/A,FALSE,"pop.hh";#N/A,#N/A,FALSE,"age.dist";#N/A,#N/A,FALSE,"hh.income";#N/A,#N/A,FALSE,"hh.chars"}</definedName>
    <definedName name="bvc" hidden="1">{#N/A,#N/A,FALSE,"pop.hh";#N/A,#N/A,FALSE,"age.dist";#N/A,#N/A,FALSE,"hh.income";#N/A,#N/A,FALSE,"hh.chars"}</definedName>
    <definedName name="bwe3r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we3r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YD_MGG_ASCA_facility" localSheetId="0" hidden="1">{"Print Summary",#N/A,FALSE,"Summary Analysis";"Print FCF",#N/A,FALSE,"FCF Analysis";"Print Sensitivity",#N/A,FALSE,"Sensitivity Analysis";"Print NAV",#N/A,FALSE,"NAV Analysis";"Print Credit",#N/A,FALSE,"Credit Analysis"}</definedName>
    <definedName name="BYD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c.LTMYear" hidden="1">#REF!</definedName>
    <definedName name="c.xls" localSheetId="0" hidden="1">{#N/A,#N/A,FALSE,"970301";#N/A,#N/A,FALSE,"970302";#N/A,#N/A,FALSE,"970303";#N/A,#N/A,FALSE,"970304";#N/A,#N/A,FALSE,"COM1";#N/A,#N/A,FALSE,"COM2"}</definedName>
    <definedName name="c.xls" hidden="1">{#N/A,#N/A,FALSE,"970301";#N/A,#N/A,FALSE,"970302";#N/A,#N/A,FALSE,"970303";#N/A,#N/A,FALSE,"970304";#N/A,#N/A,FALSE,"COM1";#N/A,#N/A,FALSE,"COM2"}</definedName>
    <definedName name="Cable2" localSheetId="0" hidden="1">{#N/A,#N/A,FALSE,"Operations";#N/A,#N/A,FALSE,"Financials"}</definedName>
    <definedName name="Cable2" hidden="1">{#N/A,#N/A,FALSE,"Operations";#N/A,#N/A,FALSE,"Financials"}</definedName>
    <definedName name="cagnew" localSheetId="0" hidden="1">{"IS",#N/A,FALSE,"IS";"RPTIS",#N/A,FALSE,"RPTIS";"STATS",#N/A,FALSE,"STATS";"CELL",#N/A,FALSE,"CELL";"BS",#N/A,FALSE,"BS"}</definedName>
    <definedName name="cagnew" hidden="1">{"IS",#N/A,FALSE,"IS";"RPTIS",#N/A,FALSE,"RPTIS";"STATS",#N/A,FALSE,"STATS";"CELL",#N/A,FALSE,"CELL";"BS",#N/A,FALSE,"BS"}</definedName>
    <definedName name="cancel" localSheetId="0" hidden="1">{"PARTNERS CAPITAL STMT",#N/A,FALSE,"Partners Capital"}</definedName>
    <definedName name="cancel" hidden="1">{"PARTNERS CAPITAL STMT",#N/A,FALSE,"Partners Capital"}</definedName>
    <definedName name="cancel2" localSheetId="0" hidden="1">{"PNLProjDL",#N/A,FALSE,"PROJCO";"PNLParDL",#N/A,FALSE,"Parent"}</definedName>
    <definedName name="cancel2" hidden="1">{"PNLProjDL",#N/A,FALSE,"PROJCO";"PNLParDL",#N/A,FALSE,"Parent"}</definedName>
    <definedName name="cancel3" localSheetId="0" hidden="1">{"Summary",#N/A,FALSE,"MICMULT";"Income Statement",#N/A,FALSE,"MICMULT";"Cash Flows",#N/A,FALSE,"MICMULT"}</definedName>
    <definedName name="cancel3" hidden="1">{"Summary",#N/A,FALSE,"MICMULT";"Income Statement",#N/A,FALSE,"MICMULT";"Cash Flows",#N/A,FALSE,"MICMULT"}</definedName>
    <definedName name="capdetail" hidden="1">#REF!</definedName>
    <definedName name="CAPEX98" hidden="1">#REF!</definedName>
    <definedName name="cas" localSheetId="0" hidden="1">{"Monthly 1999 Stats",#N/A,FALSE,"Months";"Monthly 1999 IS",#N/A,FALSE,"Months"}</definedName>
    <definedName name="cas" hidden="1">{"Monthly 1999 Stats",#N/A,FALSE,"Months";"Monthly 1999 IS",#N/A,FALSE,"Months"}</definedName>
    <definedName name="cashflow2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y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B" localSheetId="0" hidden="1">{#N/A,#N/A,FALSE,"OffAdvance";#N/A,#N/A,FALSE,"OffExpRprt";#N/A,#N/A,FALSE,"Entertmnt";#N/A,#N/A,FALSE,"Promotion";#N/A,#N/A,FALSE,"Travelling"}</definedName>
    <definedName name="CB" hidden="1">{#N/A,#N/A,FALSE,"OffAdvance";#N/A,#N/A,FALSE,"OffExpRprt";#N/A,#N/A,FALSE,"Entertmnt";#N/A,#N/A,FALSE,"Promotion";#N/A,#N/A,FALSE,"Travelling"}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9876793_opts" hidden="1">"1, 2, 1, False, 2, False, False, , 0, False, False, 2, 2"</definedName>
    <definedName name="cb_Chart_1_opts" localSheetId="0" hidden="1">"1, 6, 1, False, 2, False, False, , 0, False, True, 1, 2"</definedName>
    <definedName name="cb_Chart_1_opts" hidden="1">"1, 5, 1, False, 2, True, False, , 0, False, False, 1, 1"</definedName>
    <definedName name="cb_Chart_10" hidden="1">#REF!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localSheetId="0" hidden="1">"1, 6, 1, False, 2, False, False, , 0, False, False, 1, 2"</definedName>
    <definedName name="cb_Chart_2_opts" hidden="1">"1, 1, 1, False, 2, False, False, , 0, False, False, 1, 1"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localSheetId="0" hidden="1">"1, 1, 1, False, 2, True, False, , 0, False, False, 2, 2"</definedName>
    <definedName name="cb_Chart_3_opts" hidden="1">"1, 1, 1, False, 2, False, False, , 0, False, False, 1, 1"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328EFA7_opts" hidden="1">"1, 8, 1, False,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55036A2_opts" hidden="1">"1, 1, 1, False, 2, True,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6E18E81_opts" hidden="1">"1, 9, 1, False, 2, False, False, , 0, False, True, 1, 1"</definedName>
    <definedName name="cb_sChart1796B31E_opts" hidden="1">"1, 8, 1, False, 2, False, False, , 0, False, False,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C2F22E_opts" hidden="1">"1, 9, 1, False, 2, False, False, , 0, False, True, 1, 1"</definedName>
    <definedName name="cb_sChart18C2F3FD_opts" hidden="1">"1, 1, 1, False, 2, False, False, , 0, False, True, 1, 1"</definedName>
    <definedName name="cb_sChart18C2F4E5_opts" hidden="1">"1, 9, 1, False, 2, False, False, , 0, False, True, 1, 1"</definedName>
    <definedName name="cb_sChart1962D0C9_opts" hidden="1">"1, 9, 1, False, 2, False, False, , 0, False, False, 1, 1"</definedName>
    <definedName name="cb_sChart1962D5CE_opts" hidden="1">"1, 9, 1, False, 2, False, False, , 0, False, False, 1, 1"</definedName>
    <definedName name="cb_sChart1962D785_opts" hidden="1">"1, 9, 1, False, 2, False, False, , 0, False, True, 1, 1"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1F628B42_opts" hidden="1">"1, 9, 1, False, 2, False, False, , 0, False, False, 1, 1"</definedName>
    <definedName name="cb_sChart1F628FDF_opts" hidden="1">"1, 8, 1, False, 2, False, False, , 0, False, False, 1, 1"</definedName>
    <definedName name="cb_sChart1F62AC95_opts" hidden="1">"1, 8,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74E984_opts" hidden="1">"1, 1, 1, False, 2, False, False, , 0, False, False, 2, 2"</definedName>
    <definedName name="cb_sChartAFDFAB0_opts" hidden="1">"2, 1, 2, True, 2, False, False, , 0, False, True, 1, 1"</definedName>
    <definedName name="cb_sChartAFE0006_opts" hidden="1">"2, 1, 2, True, 2, False, False, , 0, False, True, 1, 1"</definedName>
    <definedName name="cb_sChartAFF5837_opts" hidden="1">"1, 9, 1, False, 2, False, False, , 0, False, True, 1, 1"</definedName>
    <definedName name="cb_sChartAFF7DEC_opts" hidden="1">"1, 9, 1, False, 2, False, False, , 0, False, False, 1, 1"</definedName>
    <definedName name="cb_sChartAFFAE4C_opts" hidden="1">"1, 9, 1, False, 2, False, False, , 0, False, False, 1, 1"</definedName>
    <definedName name="cb_sChartB00A4CA_opts" hidden="1">"1, 9, 1, False, 2, False, False, , 0, False, False, 1, 1"</definedName>
    <definedName name="cb_sChartB00BB88_opts" hidden="1">"1, 9, 1, False, 2, False, False, , 0, False, True, 1, 1"</definedName>
    <definedName name="cb_sChartC32A1F1_opts" hidden="1">"1, 10, 1, False, 2, True, False, , 0, False, True, 1, 2"</definedName>
    <definedName name="cb_sChartC32D7E1_opts" hidden="1">"1, 3, 1, False, 2, False, False, , 0, False, True, 1, 1"</definedName>
    <definedName name="cb_sChartC32E828_opts" hidden="1">"1, 1, 1, False, 2, True, False, , 0, False, False, 1, 1"</definedName>
    <definedName name="cb_sChartC6F96D3_opts" hidden="1">"1, 9, 1, False, 2, False, False, , 0, False, True, 1, 1"</definedName>
    <definedName name="cb_sChartC6F9839_opts" hidden="1">"1, 9, 1, False, 2, False, False, , 0, False, False, 1, 1"</definedName>
    <definedName name="cb_sChartC6F9966_opts" hidden="1">"1, 9, 1, False, 2, False, False, , 0, False, True,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19EA2_opts" hidden="1">"1, 8, 1, False, 2, False, False, , 0, False, False, 1, 2"</definedName>
    <definedName name="cb_sChartF0FF3D7_opts" hidden="1">"1, 8, 1, False, 2, False, False, , 1, False, True, 1, 2"</definedName>
    <definedName name="cb_sChartF1ADE59_opts" hidden="1">"1, 5, 1, False, 2, False, False, , 0, False, True, 1, 1"</definedName>
    <definedName name="cb_sChartF1AE10F_opts" hidden="1">"1, 3, 1, False, 2, False, False, , 0, False, False, 1, 1"</definedName>
    <definedName name="cb_sChartF1AE2DE_opts" hidden="1">"1, 3, 1, False, 2, False, False, , 0, False, True, 1, 1"</definedName>
    <definedName name="cb_sChartF1AFB1A_opts" hidden="1">"1, 1, 1, False, 2, False, False, , 0, False, False, 1, 1"</definedName>
    <definedName name="cb_sChartF1AFB82_opts" hidden="1">"1, 1, 1, False, 2, False, False, , 0, False, False, 1, 1"</definedName>
    <definedName name="cb_sChartF1B1530_opts" hidden="1">"1, 9, 1, False, 2, False, False, , 0, False, True, 1, 1"</definedName>
    <definedName name="cb_sChartF1B6D9F_opts" hidden="1">"1, 8, 1, False, 2, False, False, , 0, False, False, 1, 1"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2E95_opts" hidden="1">"1, 8, 1, False, 2, False, False, , 0, False, False,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20F9EE_opts" hidden="1">"1, 9, 1, False, 2, False, False, , 0,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WorkbookPriority" hidden="1">-1264563189</definedName>
    <definedName name="cc" localSheetId="0" hidden="1">{"bs",#N/A,FALSE,"SCF"}</definedName>
    <definedName name="cc" hidden="1">{"bs",#N/A,FALSE,"SCF"}</definedName>
    <definedName name="CC1.2" hidden="1">#REF!</definedName>
    <definedName name="ccb" localSheetId="0" hidden="1">{#N/A,#N/A,FALSE,"TAXC.INDEX";#N/A,#N/A,FALSE,"Schedule I";#N/A,#N/A,FALSE,"Schedule  II";#N/A,#N/A,FALSE,"Schedule III"}</definedName>
    <definedName name="ccb" hidden="1">{#N/A,#N/A,FALSE,"TAXC.INDEX";#N/A,#N/A,FALSE,"Schedule I";#N/A,#N/A,FALSE,"Schedule  II";#N/A,#N/A,FALSE,"Schedule III"}</definedName>
    <definedName name="ccc" localSheetId="0" hidden="1">{"bs",#N/A,FALSE,"SCF"}</definedName>
    <definedName name="ccc" hidden="1">{"bs",#N/A,FALSE,"SCF"}</definedName>
    <definedName name="cccc" localSheetId="0" hidden="1">{"CoverSheet",#N/A,FALSE,"Cover";"IndexSheet",#N/A,FALSE,"Index"}</definedName>
    <definedName name="cccc" hidden="1">{"CoverSheet",#N/A,FALSE,"Cover";"IndexSheet",#N/A,FALSE,"Index"}</definedName>
    <definedName name="ccccc" localSheetId="0" hidden="1">{"revenue detail 1",#N/A,FALSE,"Revenue Detail";"revenue detail 2",#N/A,FALSE,"Revenue Detail";"revenue detail 3",#N/A,FALSE,"Revenue Detail";"revenue detail 4",#N/A,FALSE,"Revenue Detail"}</definedName>
    <definedName name="ccccc" hidden="1">{"revenue detail 1",#N/A,FALSE,"Revenue Detail";"revenue detail 2",#N/A,FALSE,"Revenue Detail";"revenue detail 3",#N/A,FALSE,"Revenue Detail";"revenue detail 4",#N/A,FALSE,"Revenue Detail"}</definedName>
    <definedName name="cccccc" localSheetId="0" hidden="1">{#N/A,#N/A,FALSE,"Bezirk SW";#N/A,#N/A,FALSE,"Dir S (GK)";#N/A,#N/A,FALSE,"Dir FR (PK)"}</definedName>
    <definedName name="cccccc" hidden="1">{#N/A,#N/A,FALSE,"Bezirk SW";#N/A,#N/A,FALSE,"Dir S (GK)";#N/A,#N/A,FALSE,"Dir FR (PK)"}</definedName>
    <definedName name="cccccccc" localSheetId="0" hidden="1">{"Total",#N/A,FALSE,"Six Fields";"PDP",#N/A,FALSE,"Six Fields";"PNP",#N/A,FALSE,"Six Fields";"PUD",#N/A,FALSE,"Six Fields";"Prob",#N/A,FALSE,"Six Fields"}</definedName>
    <definedName name="cccccccc" hidden="1">{"Total",#N/A,FALSE,"Six Fields";"PDP",#N/A,FALSE,"Six Fields";"PNP",#N/A,FALSE,"Six Fields";"PUD",#N/A,FALSE,"Six Fields";"Prob",#N/A,FALSE,"Six Fields"}</definedName>
    <definedName name="ccccdv" localSheetId="0" hidden="1">{"CoverSheet",#N/A,FALSE,"Cover";"IndexSheet",#N/A,FALSE,"Index"}</definedName>
    <definedName name="ccccdv" hidden="1">{"CoverSheet",#N/A,FALSE,"Cover";"IndexSheet",#N/A,FALSE,"Index"}</definedName>
    <definedName name="CCCdv" localSheetId="0" hidden="1">{"CoverSheet",#N/A,FALSE,"Cover";"IndexSheet",#N/A,FALSE,"Index"}</definedName>
    <definedName name="CCCdv" hidden="1">{"CoverSheet",#N/A,FALSE,"Cover";"IndexSheet",#N/A,FALSE,"Index"}</definedName>
    <definedName name="CCCs" localSheetId="0" hidden="1">{"bs",#N/A,FALSE,"SCF"}</definedName>
    <definedName name="CCCs" hidden="1">{"bs",#N/A,FALSE,"SCF"}</definedName>
    <definedName name="CCD" hidden="1">#REF!</definedName>
    <definedName name="ccion" localSheetId="0" hidden="1">{#N/A,#N/A,FALSE,"AOP Summary";#N/A,#N/A,FALSE,"E.C. Reports";#N/A,#N/A,FALSE,"SADA";#N/A,#N/A,FALSE,"SADA VARIANCE";#N/A,#N/A,FALSE,"Market Share";#N/A,#N/A,FALSE,"Fisher Data"}</definedName>
    <definedName name="ccion" hidden="1">{#N/A,#N/A,FALSE,"AOP Summary";#N/A,#N/A,FALSE,"E.C. Reports";#N/A,#N/A,FALSE,"SADA";#N/A,#N/A,FALSE,"SADA VARIANCE";#N/A,#N/A,FALSE,"Market Share";#N/A,#N/A,FALSE,"Fisher Data"}</definedName>
    <definedName name="CCs" localSheetId="0" hidden="1">{"bs",#N/A,FALSE,"SCF"}</definedName>
    <definedName name="CCs" hidden="1">{"bs",#N/A,FALSE,"SCF"}</definedName>
    <definedName name="ccsc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VHKVHKVHKVHKVHKCVHKC" hidden="1">#REF!</definedName>
    <definedName name="cdaf" localSheetId="0" hidden="1">{#N/A,#N/A,FALSE,"Sheet1";#N/A,#N/A,FALSE,"Sheet2";#N/A,#N/A,FALSE,"Sheet3";#N/A,#N/A,FALSE,"Sheet4";#N/A,#N/A,FALSE,"Sheet5";#N/A,#N/A,FALSE,"Sheet6"}</definedName>
    <definedName name="cdaf" hidden="1">{#N/A,#N/A,FALSE,"Sheet1";#N/A,#N/A,FALSE,"Sheet2";#N/A,#N/A,FALSE,"Sheet3";#N/A,#N/A,FALSE,"Sheet4";#N/A,#N/A,FALSE,"Sheet5";#N/A,#N/A,FALSE,"Sheet6"}</definedName>
    <definedName name="CDE" hidden="1">#REF!</definedName>
    <definedName name="ce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d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edt" hidden="1">{#N/A,#N/A,FALSE,"DIR-REP";#N/A,#N/A,FALSE,"AUD-REPORT";#N/A,#N/A,FALSE,"P7L&amp;BS";#N/A,#N/A,FALSE,"NOTES";#N/A,#N/A,FALSE,"FA";#N/A,#N/A,FALSE,"NOTES (2)";#N/A,#N/A,FALSE,"Schedule  IV";#N/A,#N/A,FALSE,"Schedule V"}</definedName>
    <definedName name="Cetaphil" localSheetId="0" hidden="1">{"en_tete",#N/A,FALSE,"Index";"vue",#N/A,FALSE,"P.-0";#N/A,#N/A,FALSE,"P.-1";#N/A,#N/A,FALSE,"P.- 2a";#N/A,#N/A,FALSE,"P.- 3";#N/A,#N/A,FALSE,"P.- 4";#N/A,#N/A,FALSE,"B.-4b";#N/A,#N/A,FALSE,"B.-8"}</definedName>
    <definedName name="Cetaphil" hidden="1">{"en_tete",#N/A,FALSE,"Index";"vue",#N/A,FALSE,"P.-0";#N/A,#N/A,FALSE,"P.-1";#N/A,#N/A,FALSE,"P.- 2a";#N/A,#N/A,FALSE,"P.- 3";#N/A,#N/A,FALSE,"P.- 4";#N/A,#N/A,FALSE,"B.-4b";#N/A,#N/A,FALSE,"B.-8"}</definedName>
    <definedName name="cev" localSheetId="0" hidden="1">{"Headcount Worksheet",#N/A,FALSE,"HEADCOUNT"}</definedName>
    <definedName name="cev" hidden="1">{"Headcount Worksheet",#N/A,FALSE,"HEADCOUNT"}</definedName>
    <definedName name="CF03후" hidden="1">#REF!</definedName>
    <definedName name="CFValue" localSheetId="0" hidden="1">{#N/A,#N/A,FALSE,"EARNINGS";#N/A,#N/A,FALSE,"BALANCE";#N/A,#N/A,FALSE,"CASHFLOW"}</definedName>
    <definedName name="CFValue" hidden="1">{#N/A,#N/A,FALSE,"EARNINGS";#N/A,#N/A,FALSE,"BALANCE";#N/A,#N/A,FALSE,"CASHFLOW"}</definedName>
    <definedName name="cg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tat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a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g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jot" localSheetId="0" hidden="1">{#N/A,#N/A,FALSE,"TAXC.INDEX";#N/A,#N/A,FALSE,"Schedule I";#N/A,#N/A,FALSE,"Schedule  II";#N/A,#N/A,FALSE,"Schedule III"}</definedName>
    <definedName name="cgtjot" hidden="1">{#N/A,#N/A,FALSE,"TAXC.INDEX";#N/A,#N/A,FALSE,"Schedule I";#N/A,#N/A,FALSE,"Schedule  II";#N/A,#N/A,FALSE,"Schedule III"}</definedName>
    <definedName name="chage" localSheetId="0" hidden="1">{#N/A,#N/A,TRUE,"USD Summary";#N/A,#N/A,TRUE,"USD Summary Trend";#N/A,#N/A,TRUE,"USD Consolidation";#N/A,#N/A,TRUE,"HDS";#N/A,#N/A,TRUE,"WFS";#N/A,#N/A,TRUE,"HDT";#N/A,#N/A,TRUE,"TWF";#N/A,#N/A,TRUE,"HDM";#N/A,#N/A,TRUE,"WFM";#N/A,#N/A,TRUE,"HDC";#N/A,#N/A,TRUE,"HDSH";#N/A,#N/A,TRUE,"HDSZ";#N/A,#N/A,TRUE,"HDCE";#N/A,#N/A,TRUE,"HDTW";#N/A,#N/A,TRUE,"HDK";#N/A,#N/A,TRUE,"HDI";#N/A,#N/A,TRUE,"WFI";#N/A,#N/A,TRUE,"HDIN";#N/A,#N/A,TRUE,"HDJ";#N/A,#N/A,TRUE,"HDP";#N/A,#N/A,TRUE,"HDV";#N/A,#N/A,TRUE,"Forex"}</definedName>
    <definedName name="chage" hidden="1">{#N/A,#N/A,TRUE,"USD Summary";#N/A,#N/A,TRUE,"USD Summary Trend";#N/A,#N/A,TRUE,"USD Consolidation";#N/A,#N/A,TRUE,"HDS";#N/A,#N/A,TRUE,"WFS";#N/A,#N/A,TRUE,"HDT";#N/A,#N/A,TRUE,"TWF";#N/A,#N/A,TRUE,"HDM";#N/A,#N/A,TRUE,"WFM";#N/A,#N/A,TRUE,"HDC";#N/A,#N/A,TRUE,"HDSH";#N/A,#N/A,TRUE,"HDSZ";#N/A,#N/A,TRUE,"HDCE";#N/A,#N/A,TRUE,"HDTW";#N/A,#N/A,TRUE,"HDK";#N/A,#N/A,TRUE,"HDI";#N/A,#N/A,TRUE,"WFI";#N/A,#N/A,TRUE,"HDIN";#N/A,#N/A,TRUE,"HDJ";#N/A,#N/A,TRUE,"HDP";#N/A,#N/A,TRUE,"HDV";#N/A,#N/A,TRUE,"Forex"}</definedName>
    <definedName name="Change" hidden="1">#N/A</definedName>
    <definedName name="change1" localSheetId="0" hidden="1">{#N/A,#N/A,TRUE,"USD Summary";#N/A,#N/A,TRUE,"USD Summary Trend";#N/A,#N/A,TRUE,"USD Consolidation";#N/A,#N/A,TRUE,"HDS";#N/A,#N/A,TRUE,"WFS";#N/A,#N/A,TRUE,"HDT";#N/A,#N/A,TRUE,"TWF";#N/A,#N/A,TRUE,"HDM";#N/A,#N/A,TRUE,"WFM";#N/A,#N/A,TRUE,"HDC";#N/A,#N/A,TRUE,"HDSH";#N/A,#N/A,TRUE,"HDSZ";#N/A,#N/A,TRUE,"HDCE";#N/A,#N/A,TRUE,"HDTW";#N/A,#N/A,TRUE,"HDK";#N/A,#N/A,TRUE,"HDI";#N/A,#N/A,TRUE,"WFI";#N/A,#N/A,TRUE,"HDIN";#N/A,#N/A,TRUE,"HDJ";#N/A,#N/A,TRUE,"HDP";#N/A,#N/A,TRUE,"HDV";#N/A,#N/A,TRUE,"Forex"}</definedName>
    <definedName name="change1" hidden="1">{#N/A,#N/A,TRUE,"USD Summary";#N/A,#N/A,TRUE,"USD Summary Trend";#N/A,#N/A,TRUE,"USD Consolidation";#N/A,#N/A,TRUE,"HDS";#N/A,#N/A,TRUE,"WFS";#N/A,#N/A,TRUE,"HDT";#N/A,#N/A,TRUE,"TWF";#N/A,#N/A,TRUE,"HDM";#N/A,#N/A,TRUE,"WFM";#N/A,#N/A,TRUE,"HDC";#N/A,#N/A,TRUE,"HDSH";#N/A,#N/A,TRUE,"HDSZ";#N/A,#N/A,TRUE,"HDCE";#N/A,#N/A,TRUE,"HDTW";#N/A,#N/A,TRUE,"HDK";#N/A,#N/A,TRUE,"HDI";#N/A,#N/A,TRUE,"WFI";#N/A,#N/A,TRUE,"HDIN";#N/A,#N/A,TRUE,"HDJ";#N/A,#N/A,TRUE,"HDP";#N/A,#N/A,TRUE,"HDV";#N/A,#N/A,TRUE,"Forex"}</definedName>
    <definedName name="Change2" hidden="1">#N/A</definedName>
    <definedName name="Change3" hidden="1">#N/A</definedName>
    <definedName name="Change4" hidden="1">#N/A</definedName>
    <definedName name="ChangeRange" localSheetId="0" hidden="1">#REF!</definedName>
    <definedName name="ChangeRange" hidden="1">#N/A</definedName>
    <definedName name="ChangeRange2" hidden="1">#N/A</definedName>
    <definedName name="CHARTCLASSIFICATION" hidden="1">#REF!</definedName>
    <definedName name="chartNew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e" localSheetId="0" hidden="1">{#N/A,#N/A,FALSE,"970301";#N/A,#N/A,FALSE,"970302";#N/A,#N/A,FALSE,"970303";#N/A,#N/A,FALSE,"970304";#N/A,#N/A,FALSE,"COM1";#N/A,#N/A,FALSE,"COM2"}</definedName>
    <definedName name="che" hidden="1">{#N/A,#N/A,FALSE,"970301";#N/A,#N/A,FALSE,"970302";#N/A,#N/A,FALSE,"970303";#N/A,#N/A,FALSE,"970304";#N/A,#N/A,FALSE,"COM1";#N/A,#N/A,FALSE,"COM2"}</definedName>
    <definedName name="che_1" localSheetId="0" hidden="1">{#N/A,#N/A,FALSE,"970301";#N/A,#N/A,FALSE,"970302";#N/A,#N/A,FALSE,"970303";#N/A,#N/A,FALSE,"970304";#N/A,#N/A,FALSE,"COM1";#N/A,#N/A,FALSE,"COM2"}</definedName>
    <definedName name="che_1" hidden="1">{#N/A,#N/A,FALSE,"970301";#N/A,#N/A,FALSE,"970302";#N/A,#N/A,FALSE,"970303";#N/A,#N/A,FALSE,"970304";#N/A,#N/A,FALSE,"COM1";#N/A,#N/A,FALSE,"COM2"}</definedName>
    <definedName name="chee" localSheetId="0" hidden="1">{#N/A,#N/A,FALSE,"970301";#N/A,#N/A,FALSE,"970302";#N/A,#N/A,FALSE,"970303";#N/A,#N/A,FALSE,"970304";#N/A,#N/A,FALSE,"COM1";#N/A,#N/A,FALSE,"COM2"}</definedName>
    <definedName name="chee" hidden="1">{#N/A,#N/A,FALSE,"970301";#N/A,#N/A,FALSE,"970302";#N/A,#N/A,FALSE,"970303";#N/A,#N/A,FALSE,"970304";#N/A,#N/A,FALSE,"COM1";#N/A,#N/A,FALSE,"COM2"}</definedName>
    <definedName name="chee_1" localSheetId="0" hidden="1">{#N/A,#N/A,FALSE,"970301";#N/A,#N/A,FALSE,"970302";#N/A,#N/A,FALSE,"970303";#N/A,#N/A,FALSE,"970304";#N/A,#N/A,FALSE,"COM1";#N/A,#N/A,FALSE,"COM2"}</definedName>
    <definedName name="chee_1" hidden="1">{#N/A,#N/A,FALSE,"970301";#N/A,#N/A,FALSE,"970302";#N/A,#N/A,FALSE,"970303";#N/A,#N/A,FALSE,"970304";#N/A,#N/A,FALSE,"COM1";#N/A,#N/A,FALSE,"COM2"}</definedName>
    <definedName name="Chemist" localSheetId="0" hidden="1">{#N/A,#N/A,FALSE,"Eff-SSC2"}</definedName>
    <definedName name="Chemist" hidden="1">{#N/A,#N/A,FALSE,"Eff-SSC2"}</definedName>
    <definedName name="chloe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chlo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CHRTCLASS2" hidden="1">#REF!</definedName>
    <definedName name="chutikarn" localSheetId="0" hidden="1">{#N/A,#N/A,FALSE,"Eff-SSC2"}</definedName>
    <definedName name="chutikarn" hidden="1">{#N/A,#N/A,FALSE,"Eff-SSC2"}</definedName>
    <definedName name="CIQANR_048b7643dc634d12bdbb62dc6a20b0b8" hidden="1">#REF!</definedName>
    <definedName name="CIQANR_0aba19f8642b44e1b85c9c24d78c5967" hidden="1">#REF!</definedName>
    <definedName name="CIQANR_1780daf6624547f78595d210a6b7e5bb" hidden="1">#REF!</definedName>
    <definedName name="CIQANR_18730ffea5904fbf88f738ded1d48060" hidden="1">#REF!</definedName>
    <definedName name="CIQANR_1dc94da50d6f4ec488ecf3ab6001f8ca" hidden="1">#REF!</definedName>
    <definedName name="CIQANR_1ddc5a3b38e64013bde481f19f4ebf27" hidden="1">#REF!</definedName>
    <definedName name="CIQANR_1ed2850a7c154aa3afbcb39eb33e51e2" hidden="1">#REF!</definedName>
    <definedName name="CIQANR_26ac5be43e164974b67a54e0af245863" hidden="1">#REF!</definedName>
    <definedName name="CIQANR_30686fe27f854a768fa03533d7345719" hidden="1">#REF!</definedName>
    <definedName name="CIQANR_3136abb8004845fd94d827e1c8094045" hidden="1">#REF!</definedName>
    <definedName name="CIQANR_3761590f153f408eb06d08ed58d463ee" hidden="1">#REF!</definedName>
    <definedName name="CIQANR_3a1fa8a93b204c0e8dc0ed9b468831ca" hidden="1">#REF!</definedName>
    <definedName name="CIQANR_3a7ad73e0fff446cacf379435a03c9ac" hidden="1">#REF!</definedName>
    <definedName name="CIQANR_40eaaaf32e62476082465216062cc0c8" hidden="1">#REF!</definedName>
    <definedName name="CIQANR_4399b06268934b12bd97fae76e2267bc" hidden="1">#REF!</definedName>
    <definedName name="CIQANR_47c8ccff810b4253b5d0b66bca84b34b" hidden="1">#REF!</definedName>
    <definedName name="CIQANR_4d57c6051b6a4d808ff419949c702d50" hidden="1">#REF!</definedName>
    <definedName name="CIQANR_4d88b7b0a9194727b3c4af98062e54d6" hidden="1">#REF!</definedName>
    <definedName name="CIQANR_4f341512ee834d6fbe02cd6d33062908" hidden="1">#REF!</definedName>
    <definedName name="CIQANR_5800452eda2f4477b8b0ce353f11504a" hidden="1">#REF!</definedName>
    <definedName name="CIQANR_601138277e8e492cb7fdfba658a3212f" hidden="1">#REF!</definedName>
    <definedName name="CIQANR_6577ff4aa40b462081a6164d2a999f8d" hidden="1">#REF!</definedName>
    <definedName name="CIQANR_6c695b6049a74a62bbd9c84819bb0ea2" hidden="1">#REF!</definedName>
    <definedName name="CIQANR_7371b8705e5a419a8b434338da96b1fd" hidden="1">#REF!</definedName>
    <definedName name="CIQANR_7b69abe169fd4bb899b3f554842010f3" hidden="1">#REF!</definedName>
    <definedName name="CIQANR_7bacc87e2e344812a6f06529bfc1c1b1" hidden="1">#REF!</definedName>
    <definedName name="CIQANR_7e9bb60d9920479bbc37320d7bd881ba" hidden="1">#REF!</definedName>
    <definedName name="CIQANR_84d9ebe39e7e4908aed670e639455c19" hidden="1">#REF!</definedName>
    <definedName name="CIQANR_877291643a3644f09f3ffae1245d1613" hidden="1">#REF!</definedName>
    <definedName name="CIQANR_928e3451f37f4a37866c1f65e52777ba" hidden="1">#REF!</definedName>
    <definedName name="CIQANR_94882d0efae64d36bc58b74ced7933c1" hidden="1">#REF!</definedName>
    <definedName name="CIQANR_a22d1b38044844d9bde19c1261262036" hidden="1">#REF!</definedName>
    <definedName name="CIQANR_ae9e94ef6c954f47a39082bdba54a9e6" hidden="1">#REF!</definedName>
    <definedName name="CIQANR_b51271028db34f8690c0d4dc20bc5613" hidden="1">#REF!</definedName>
    <definedName name="CIQANR_bd4ab19c3a2e4527804072d8f0739f3a" hidden="1">#REF!</definedName>
    <definedName name="CIQANR_c4a7862c9ca1491c883c277315f18dc9" hidden="1">#REF!</definedName>
    <definedName name="CIQANR_c64adc808b0049bd9109361787428293" hidden="1">#REF!</definedName>
    <definedName name="CIQANR_c76bcaaa273e46ae916b1d5632d689d8" hidden="1">#REF!</definedName>
    <definedName name="CIQANR_ce5cd50d6b0d4cce9b97090932a4430a" hidden="1">#REF!</definedName>
    <definedName name="CIQANR_cfc676cbc3c74b3487a87637c5e92301" hidden="1">#REF!</definedName>
    <definedName name="CIQANR_d0360ab734534bea8c5ae4e537c27fb0" hidden="1">#REF!</definedName>
    <definedName name="CIQANR_d39e3857818343f392381f67afdcb5ec" hidden="1">#REF!</definedName>
    <definedName name="CIQANR_d6a556a68bee4ebbb8000ee40dbcbe17" hidden="1">#REF!</definedName>
    <definedName name="CIQANR_d76786021266416eb95d81a5f1221322" hidden="1">#REF!</definedName>
    <definedName name="CIQANR_d77c62f27cbb462fb4b54dc49e1f91d5" hidden="1">#REF!</definedName>
    <definedName name="CIQANR_dff335c6c6174fa8b44522c79aeec2c3" hidden="1">#REF!</definedName>
    <definedName name="CIQANR_e0b4de18e0164255a4ec1e6aa3e3241d" hidden="1">#REF!</definedName>
    <definedName name="CIQANR_e13585767c3d40729438f6441b9608ea" hidden="1">#REF!</definedName>
    <definedName name="CIQANR_eaa4e308f0724debb73b0e1837b6f659" hidden="1">#REF!</definedName>
    <definedName name="CIQANR_ec20d8b78f544ca5a642673856b54df7" hidden="1">#REF!</definedName>
    <definedName name="CIQANR_ec9b0f14eddf4ea586ab558233fc9efd" hidden="1">#REF!</definedName>
    <definedName name="CIQANR_f5695f28774747cbbb6c3eefba46f238" hidden="1">#REF!</definedName>
    <definedName name="CIQANR_f5e2e0b59add4a7eba839b05cb392bb0" hidden="1">#REF!</definedName>
    <definedName name="CIQANR_fb3d88e19e4c488791a9e55a97798967" hidden="1">#REF!</definedName>
    <definedName name="CIQANR_fc0a3d1835ab4065af361240e2724db9" hidden="1">#REF!</definedName>
    <definedName name="CIQWBGuid" localSheetId="0" hidden="1">"a908bf93-646d-4533-9dbc-e9dd3989649e"</definedName>
    <definedName name="CIQWBGuid" hidden="1">"888bbb46-a93a-4ed4-8b75-e6a9e19c6437"</definedName>
    <definedName name="CIQWBGuid_old" hidden="1">"950dfecf-0357-4aa9-a35f-b3223fc9059d"</definedName>
    <definedName name="CIQWBInfo" hidden="1">"{ ""CIQVersion"":""9.50.2716.4594"" }"</definedName>
    <definedName name="cj" localSheetId="0" hidden="1">{#N/A,#N/A,FALSE,"AOP Summary";#N/A,#N/A,FALSE,"E.C. Reports";#N/A,#N/A,FALSE,"SADA";#N/A,#N/A,FALSE,"SADA VARIANCE";#N/A,#N/A,FALSE,"Market Share";#N/A,#N/A,FALSE,"Fisher Data"}</definedName>
    <definedName name="cj" hidden="1">{#N/A,#N/A,FALSE,"AOP Summary";#N/A,#N/A,FALSE,"E.C. Reports";#N/A,#N/A,FALSE,"SADA";#N/A,#N/A,FALSE,"SADA VARIANCE";#N/A,#N/A,FALSE,"Market Share";#N/A,#N/A,FALSE,"Fisher Data"}</definedName>
    <definedName name="cjbao" localSheetId="0" hidden="1">{#N/A,#N/A,FALSE,"TAXC.INDEX";#N/A,#N/A,FALSE,"Schedule I";#N/A,#N/A,FALSE,"Schedule  II";#N/A,#N/A,FALSE,"Schedule III"}</definedName>
    <definedName name="cjbao" hidden="1">{#N/A,#N/A,FALSE,"TAXC.INDEX";#N/A,#N/A,FALSE,"Schedule I";#N/A,#N/A,FALSE,"Schedule  II";#N/A,#N/A,FALSE,"Schedule III"}</definedName>
    <definedName name="cjbg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oag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b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gboat" localSheetId="0" hidden="1">{#N/A,#N/A,FALSE,"TAXC.INDEX";#N/A,#N/A,FALSE,"Schedule I";#N/A,#N/A,FALSE,"Schedule  II";#N/A,#N/A,FALSE,"Schedule III"}</definedName>
    <definedName name="cjgboat" hidden="1">{#N/A,#N/A,FALSE,"TAXC.INDEX";#N/A,#N/A,FALSE,"Schedule I";#N/A,#N/A,FALSE,"Schedule  II";#N/A,#N/A,FALSE,"Schedule III"}</definedName>
    <definedName name="cjjg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jjg" hidden="1">{#N/A,#N/A,FALSE,"DIR-REP";#N/A,#N/A,FALSE,"AUD-REPORT";#N/A,#N/A,FALSE,"P7L&amp;BS";#N/A,#N/A,FALSE,"NOTES";#N/A,#N/A,FALSE,"FA";#N/A,#N/A,FALSE,"NOTES (2)";#N/A,#N/A,FALSE,"Schedule  IV";#N/A,#N/A,FALSE,"Schedule V"}</definedName>
    <definedName name="cjlds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ds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g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jlg" hidden="1">{#N/A,#N/A,FALSE,"DIR-REP";#N/A,#N/A,FALSE,"AUD-REPORT";#N/A,#N/A,FALSE,"P7L&amp;BS";#N/A,#N/A,FALSE,"NOTES";#N/A,#N/A,FALSE,"FA";#N/A,#N/A,FALSE,"NOTES (2)";#N/A,#N/A,FALSE,"Schedule  IV";#N/A,#N/A,FALSE,"Schedule V"}</definedName>
    <definedName name="cjoga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og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toa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to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kde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kd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kjd" hidden="1">#REF!</definedName>
    <definedName name="cl" localSheetId="0" hidden="1">{#N/A,#N/A,FALSE,"970301";#N/A,#N/A,FALSE,"970302";#N/A,#N/A,FALSE,"970303";#N/A,#N/A,FALSE,"970304";#N/A,#N/A,FALSE,"COM1";#N/A,#N/A,FALSE,"COM2"}</definedName>
    <definedName name="cl" hidden="1">{#N/A,#N/A,FALSE,"970301";#N/A,#N/A,FALSE,"970302";#N/A,#N/A,FALSE,"970303";#N/A,#N/A,FALSE,"970304";#N/A,#N/A,FALSE,"COM1";#N/A,#N/A,FALSE,"COM2"}</definedName>
    <definedName name="cls." localSheetId="0" hidden="1">{#N/A,#N/A,TRUE,"COVER";#N/A,#N/A,TRUE,"DIR";#N/A,#N/A,TRUE,"AUDIT"}</definedName>
    <definedName name="cls." hidden="1">{#N/A,#N/A,TRUE,"COVER";#N/A,#N/A,TRUE,"DIR";#N/A,#N/A,TRUE,"AUDIT"}</definedName>
    <definedName name="cm" localSheetId="0" hidden="1">{#N/A,#N/A,FALSE,"970301";#N/A,#N/A,FALSE,"970302";#N/A,#N/A,FALSE,"970303";#N/A,#N/A,FALSE,"970304";#N/A,#N/A,FALSE,"COM1";#N/A,#N/A,FALSE,"COM2"}</definedName>
    <definedName name="cm" hidden="1">{#N/A,#N/A,FALSE,"970301";#N/A,#N/A,FALSE,"970302";#N/A,#N/A,FALSE,"970303";#N/A,#N/A,FALSE,"970304";#N/A,#N/A,FALSE,"COM1";#N/A,#N/A,FALSE,"COM2"}</definedName>
    <definedName name="CN" localSheetId="0" hidden="1">{#N/A,#N/A,FALSE,"Marketing";#N/A,#N/A,FALSE,"Selling";#N/A,#N/A,FALSE,"Promotional";#N/A,#N/A,FALSE,"Advertising"}</definedName>
    <definedName name="CN" hidden="1">{#N/A,#N/A,FALSE,"Marketing";#N/A,#N/A,FALSE,"Selling";#N/A,#N/A,FALSE,"Promotional";#N/A,#N/A,FALSE,"Advertising"}</definedName>
    <definedName name="cococo" localSheetId="0" hidden="1">{#N/A,#N/A,FALSE,"TAXC.INDEX";#N/A,#N/A,FALSE,"Schedule I";#N/A,#N/A,FALSE,"Schedule  II";#N/A,#N/A,FALSE,"Schedule III"}</definedName>
    <definedName name="cococo" hidden="1">{#N/A,#N/A,FALSE,"TAXC.INDEX";#N/A,#N/A,FALSE,"Schedule I";#N/A,#N/A,FALSE,"Schedule  II";#N/A,#N/A,FALSE,"Schedule III"}</definedName>
    <definedName name="Code" hidden="1">#REF!</definedName>
    <definedName name="cogl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ll" localSheetId="0" hidden="1">{#N/A,#N/A,FALSE,"970301";#N/A,#N/A,FALSE,"970302";#N/A,#N/A,FALSE,"970303";#N/A,#N/A,FALSE,"970304";#N/A,#N/A,FALSE,"COM1";#N/A,#N/A,FALSE,"COM2"}</definedName>
    <definedName name="Coll" hidden="1">{#N/A,#N/A,FALSE,"970301";#N/A,#N/A,FALSE,"970302";#N/A,#N/A,FALSE,"970303";#N/A,#N/A,FALSE,"970304";#N/A,#N/A,FALSE,"COM1";#N/A,#N/A,FALSE,"COM2"}</definedName>
    <definedName name="Coll_1" localSheetId="0" hidden="1">{#N/A,#N/A,FALSE,"970301";#N/A,#N/A,FALSE,"970302";#N/A,#N/A,FALSE,"970303";#N/A,#N/A,FALSE,"970304";#N/A,#N/A,FALSE,"COM1";#N/A,#N/A,FALSE,"COM2"}</definedName>
    <definedName name="Coll_1" hidden="1">{#N/A,#N/A,FALSE,"970301";#N/A,#N/A,FALSE,"970302";#N/A,#N/A,FALSE,"970303";#N/A,#N/A,FALSE,"970304";#N/A,#N/A,FALSE,"COM1";#N/A,#N/A,FALSE,"COM2"}</definedName>
    <definedName name="comp" hidden="1">#REF!</definedName>
    <definedName name="Company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rable" localSheetId="0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mparatEU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ison" localSheetId="0" hidden="1">{"bs",#N/A,FALSE,"SCF"}</definedName>
    <definedName name="Comparison" hidden="1">{#N/A,#N/A,FALSE,"TFX Med. Europe Full Year in $"}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compresult" localSheetId="0" hidden="1">{"FCB_ALL",#N/A,FALSE,"FCB"}</definedName>
    <definedName name="compresult" hidden="1">{"FCB_ALL",#N/A,FALSE,"FCB"}</definedName>
    <definedName name="compresults" localSheetId="0" hidden="1">{"FCB_ALL",#N/A,FALSE,"FCB"}</definedName>
    <definedName name="compresults" hidden="1">{"FCB_ALL",#N/A,FALSE,"FCB"}</definedName>
    <definedName name="Confused" hidden="1">#REF!</definedName>
    <definedName name="Contents" localSheetId="0" hidden="1">{"'TYPE (2)'!$A$1:$Q$76"}</definedName>
    <definedName name="Contents" hidden="1">{"'TYPE (2)'!$A$1:$Q$76"}</definedName>
    <definedName name="ContentsHelp" localSheetId="0" hidden="1">#REF!</definedName>
    <definedName name="ContentsHelp" hidden="1">#REF!</definedName>
    <definedName name="Convergys" localSheetId="0" hidden="1">{#N/A,#N/A,TRUE,"Cover sheet";#N/A,#N/A,TRUE,"INPUTS";#N/A,#N/A,TRUE,"OUTPUTS";#N/A,#N/A,TRUE,"VALUATION"}</definedName>
    <definedName name="Convergys" hidden="1">{#N/A,#N/A,TRUE,"Cover sheet";#N/A,#N/A,TRUE,"INPUTS";#N/A,#N/A,TRUE,"OUTPUTS";#N/A,#N/A,TRUE,"VALUATION"}</definedName>
    <definedName name="COO" localSheetId="0" hidden="1">{#N/A,#N/A,FALSE,"Matrix";#N/A,#N/A,FALSE,"Cash Flow";#N/A,#N/A,FALSE,"10 Year Cost Analysis"}</definedName>
    <definedName name="COO" hidden="1">{#N/A,#N/A,FALSE,"Matrix";#N/A,#N/A,FALSE,"Cash Flow";#N/A,#N/A,FALSE,"10 Year Cost Analysis"}</definedName>
    <definedName name="coocl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oocl" hidden="1">{#N/A,#N/A,FALSE,"DIR-REP";#N/A,#N/A,FALSE,"AUD-REPORT";#N/A,#N/A,FALSE,"P7L&amp;BS";#N/A,#N/A,FALSE,"NOTES";#N/A,#N/A,FALSE,"FA";#N/A,#N/A,FALSE,"NOTES (2)";#N/A,#N/A,FALSE,"Schedule  IV";#N/A,#N/A,FALSE,"Schedule V"}</definedName>
    <definedName name="cooo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per2" localSheetId="0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y" localSheetId="0" hidden="1">{"bs",#N/A,FALSE,"SCF"}</definedName>
    <definedName name="copy" hidden="1">{"bs",#N/A,FALSE,"SCF"}</definedName>
    <definedName name="cosls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ta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alta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otalta" hidden="1">{#N/A,#N/A,FALSE,"DIR-REP";#N/A,#N/A,FALSE,"AUD-REPORT";#N/A,#N/A,FALSE,"P7L&amp;BS";#N/A,#N/A,FALSE,"NOTES";#N/A,#N/A,FALSE,"FA";#N/A,#N/A,FALSE,"NOTES (2)";#N/A,#N/A,FALSE,"Schedule  IV";#N/A,#N/A,FALSE,"Schedule V"}</definedName>
    <definedName name="cotalta.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alta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l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am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otlam" hidden="1">{#N/A,#N/A,FALSE,"DIR-REP";#N/A,#N/A,FALSE,"AUD-REPORT";#N/A,#N/A,FALSE,"P7L&amp;BS";#N/A,#N/A,FALSE,"NOTES";#N/A,#N/A,FALSE,"FA";#N/A,#N/A,FALSE,"NOTES (2)";#N/A,#N/A,FALSE,"Schedule  IV";#N/A,#N/A,FALSE,"Schedule V"}</definedName>
    <definedName name="cotla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otlat" hidden="1">{#N/A,#N/A,FALSE,"DIR-REP";#N/A,#N/A,FALSE,"AUD-REPORT";#N/A,#N/A,FALSE,"P7L&amp;BS";#N/A,#N/A,FALSE,"NOTES";#N/A,#N/A,FALSE,"FA";#N/A,#N/A,FALSE,"NOTES (2)";#N/A,#N/A,FALSE,"Schedule  IV";#N/A,#N/A,FALSE,"Schedule V"}</definedName>
    <definedName name="cotls" localSheetId="0" hidden="1">{#N/A,#N/A,TRUE,"COVER";#N/A,#N/A,TRUE,"DIR";#N/A,#N/A,TRUE,"AUDIT"}</definedName>
    <definedName name="cotls" hidden="1">{#N/A,#N/A,TRUE,"COVER";#N/A,#N/A,TRUE,"DIR";#N/A,#N/A,TRUE,"AUDIT"}</definedName>
    <definedName name="cotlsot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l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ucou" localSheetId="0" hidden="1">{#N/A,#N/A,TRUE,"Cover sheet";#N/A,#N/A,TRUE,"INPUTS";#N/A,#N/A,TRUE,"OUTPUTS";#N/A,#N/A,TRUE,"VALUATION"}</definedName>
    <definedName name="coucou" hidden="1">{#N/A,#N/A,TRUE,"Cover sheet";#N/A,#N/A,TRUE,"INPUTS";#N/A,#N/A,TRUE,"OUTPUTS";#N/A,#N/A,TRUE,"VALUATION"}</definedName>
    <definedName name="coun" localSheetId="0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T2" localSheetId="0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RY" localSheetId="0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rap" localSheetId="0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Crap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CreateTable" localSheetId="0" hidden="1">#REF!</definedName>
    <definedName name="CreateTable" hidden="1">#REF!</definedName>
    <definedName name="CreditStats" hidden="1">#REF!</definedName>
    <definedName name="Crgo" localSheetId="0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rgo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RH" localSheetId="0" hidden="1">{#N/A,#N/A,TRUE,"Cover sheet";#N/A,#N/A,TRUE,"DCF analysis";#N/A,#N/A,TRUE,"WACC calculation"}</definedName>
    <definedName name="CRH" hidden="1">{#N/A,#N/A,TRUE,"Cover sheet";#N/A,#N/A,TRUE,"DCF analysis";#N/A,#N/A,TRUE,"WACC calculation"}</definedName>
    <definedName name="CS" localSheetId="0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tatata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tatatat" hidden="1">{#N/A,#N/A,FALSE,"DIR-REP";#N/A,#N/A,FALSE,"AUD-REPORT";#N/A,#N/A,FALSE,"P7L&amp;BS";#N/A,#N/A,FALSE,"NOTES";#N/A,#N/A,FALSE,"FA";#N/A,#N/A,FALSE,"NOTES (2)";#N/A,#N/A,FALSE,"Schedule  IV";#N/A,#N/A,FALSE,"Schedule V"}</definedName>
    <definedName name="ctf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gtt" localSheetId="0" hidden="1">{#N/A,#N/A,TRUE,"COVER";#N/A,#N/A,TRUE,"DIR";#N/A,#N/A,TRUE,"AUDIT"}</definedName>
    <definedName name="ctgtt" hidden="1">{#N/A,#N/A,TRUE,"COVER";#N/A,#N/A,TRUE,"DIR";#N/A,#N/A,TRUE,"AUDIT"}</definedName>
    <definedName name="ctlllo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lll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"US$"</definedName>
    <definedName name="cu71.ScalingFactor" hidden="1">1000000</definedName>
    <definedName name="CUSTOMER" localSheetId="0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t" localSheetId="0" hidden="1">{"'Eng (page2)'!$A$1:$D$52"}</definedName>
    <definedName name="cut" hidden="1">{"'Eng (page2)'!$A$1:$D$52"}</definedName>
    <definedName name="cutoff" hidden="1">#REF!</definedName>
    <definedName name="cv" localSheetId="0" hidden="1">{#N/A,#N/A,FALSE,"II-2 POP.HH";#N/A,#N/A,FALSE,"II-3 AGE.DIST";#N/A,#N/A,FALSE,"II-4 HH.DIST";#N/A,#N/A,FALSE,"II-5 EMP.INDUS"}</definedName>
    <definedName name="c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HKCKVHVHKCVHKVHCKVHKC" hidden="1">#REF!</definedName>
    <definedName name="CVHKCVHKKVHVHKCVHKHKCVCVHK" hidden="1">#REF!</definedName>
    <definedName name="cvsdfsdf" localSheetId="0" hidden="1">{#N/A,#N/A,FALSE,"Detail";#N/A,#N/A,FALSE,"%s";#N/A,#N/A,FALSE,"Fund I";#N/A,#N/A,FALSE,"Fund II ";#N/A,#N/A,FALSE,"Fund III";#N/A,#N/A,FALSE,"public companies"}</definedName>
    <definedName name="cvsdfsdf" hidden="1">{#N/A,#N/A,FALSE,"Detail";#N/A,#N/A,FALSE,"%s";#N/A,#N/A,FALSE,"Fund I";#N/A,#N/A,FALSE,"Fund II ";#N/A,#N/A,FALSE,"Fund III";#N/A,#N/A,FALSE,"public companies"}</definedName>
    <definedName name="CVVKHCVHKVKCVHKVHKKVHVHK" hidden="1">#REF!</definedName>
    <definedName name="Cwvu.Commercial97." hidden="1">#REF!,#REF!,#REF!,#REF!,#REF!,#REF!,#REF!,#REF!</definedName>
    <definedName name="Cwvu.Expanded." hidden="1">#REF!,#REF!,#REF!,#REF!,#REF!,#REF!,#REF!,#REF!,#REF!,#REF!,#REF!,#REF!</definedName>
    <definedName name="Cwvu.GREY_ALL." localSheetId="0" hidden="1">#REF!</definedName>
    <definedName name="Cwvu.GREY_ALL." hidden="1">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wvu.Synthèse." hidden="1">#REF!,#REF!,#REF!,#REF!,#REF!,#REF!,#REF!,#REF!,#REF!,#REF!</definedName>
    <definedName name="Cwvu.synthétique." hidden="1">#REF!,#REF!,#REF!,#REF!,#REF!,#REF!,#REF!,#REF!,#REF!,#REF!</definedName>
    <definedName name="Cwvu.Tout." hidden="1">#REF!,#REF!</definedName>
    <definedName name="d" localSheetId="0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d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d.xls" localSheetId="0" hidden="1">{#N/A,#N/A,FALSE,"OffAdvance";#N/A,#N/A,FALSE,"OffExpRprt";#N/A,#N/A,FALSE,"Entertmnt";#N/A,#N/A,FALSE,"Promotion";#N/A,#N/A,FALSE,"Travelling"}</definedName>
    <definedName name="d.xls" hidden="1">{#N/A,#N/A,FALSE,"OffAdvance";#N/A,#N/A,FALSE,"OffExpRprt";#N/A,#N/A,FALSE,"Entertmnt";#N/A,#N/A,FALSE,"Promotion";#N/A,#N/A,FALSE,"Travelling"}</definedName>
    <definedName name="da" hidden="1">#REF!</definedName>
    <definedName name="dadafda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dafd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FAD" localSheetId="0" hidden="1">{"cap_structure",#N/A,FALSE,"Graph-Mkt Cap";"price",#N/A,FALSE,"Graph-Price";"ebit",#N/A,FALSE,"Graph-EBITDA";"ebitda",#N/A,FALSE,"Graph-EBITDA"}</definedName>
    <definedName name="DAFAD" hidden="1">{"cap_structure",#N/A,FALSE,"Graph-Mkt Cap";"price",#N/A,FALSE,"Graph-Price";"ebit",#N/A,FALSE,"Graph-EBITDA";"ebitda",#N/A,FALSE,"Graph-EBITDA"}</definedName>
    <definedName name="dafd" localSheetId="0" hidden="1">{"bs",#N/A,FALSE,"SCF"}</definedName>
    <definedName name="dafd" hidden="1">{"bs",#N/A,FALSE,"SCF"}</definedName>
    <definedName name="dafg" localSheetId="0" hidden="1">{#N/A,#N/A,FALSE,"970301";#N/A,#N/A,FALSE,"970302";#N/A,#N/A,FALSE,"970303";#N/A,#N/A,FALSE,"970304";#N/A,#N/A,FALSE,"COM1";#N/A,#N/A,FALSE,"COM2"}</definedName>
    <definedName name="dafg" hidden="1">{#N/A,#N/A,FALSE,"970301";#N/A,#N/A,FALSE,"970302";#N/A,#N/A,FALSE,"970303";#N/A,#N/A,FALSE,"970304";#N/A,#N/A,FALSE,"COM1";#N/A,#N/A,FALSE,"COM2"}</definedName>
    <definedName name="dafgdfg" localSheetId="0" hidden="1">{"inputs raw data",#N/A,TRUE,"INPUT"}</definedName>
    <definedName name="dafgdfg" hidden="1">{"inputs raw data",#N/A,TRUE,"INPUT"}</definedName>
    <definedName name="dafsdf" localSheetId="0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dafsdf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dalkha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lkha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ta.Dump" hidden="1">OFFSET(#REF!,1,0)</definedName>
    <definedName name="databaaa" hidden="1">#REF!</definedName>
    <definedName name="Database" localSheetId="0" hidden="1">#REF!</definedName>
    <definedName name="Database" hidden="1">#REF!</definedName>
    <definedName name="databass" hidden="1">#REF!</definedName>
    <definedName name="Databasss" hidden="1">#REF!</definedName>
    <definedName name="datacutoff" localSheetId="0" hidden="1">{#N/A,#N/A,FALSE,"Ocean";#N/A,#N/A,FALSE,"NewYork";#N/A,#N/A,FALSE,"Gateway";#N/A,#N/A,FALSE,"GVH";#N/A,#N/A,FALSE,"GVM";#N/A,#N/A,FALSE,"GVT"}</definedName>
    <definedName name="datacutoff" hidden="1">{#N/A,#N/A,FALSE,"Ocean";#N/A,#N/A,FALSE,"NewYork";#N/A,#N/A,FALSE,"Gateway";#N/A,#N/A,FALSE,"GVH";#N/A,#N/A,FALSE,"GVM";#N/A,#N/A,FALSE,"GVT"}</definedName>
    <definedName name="DateRangePrice" localSheetId="0" hidden="1">OFFSET(#REF!,5,0,COUNTA(#REF!)-COUNTA(#REF!),1)</definedName>
    <definedName name="DateRangePrice" hidden="1">OFFSET(#REF!,5,0,COUNTA(#REF!)-COUNTA(#REF!),1)</definedName>
    <definedName name="DateRangePriceMain" hidden="1">#REF!</definedName>
    <definedName name="day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day" hidden="1">{#N/A,#N/A,FALSE,"DIR-REP";#N/A,#N/A,FALSE,"AUD-REPORT";#N/A,#N/A,FALSE,"P7L&amp;BS";#N/A,#N/A,FALSE,"NOTES";#N/A,#N/A,FALSE,"FA";#N/A,#N/A,FALSE,"NOTES (2)";#N/A,#N/A,FALSE,"Schedule  IV";#N/A,#N/A,FALSE,"Schedule V"}</definedName>
    <definedName name="DBS" localSheetId="0" hidden="1">#REF!</definedName>
    <definedName name="DBS" hidden="1">#REF!</definedName>
    <definedName name="dc" localSheetId="0" hidden="1">{#N/A,#N/A,TRUE,"Cover sheet";#N/A,#N/A,TRUE,"DCF analysis";#N/A,#N/A,TRUE,"WACC calculation"}</definedName>
    <definedName name="dc" hidden="1">{#N/A,#N/A,TRUE,"Cover sheet";#N/A,#N/A,TRUE,"DCF analysis";#N/A,#N/A,TRUE,"WACC calculation"}</definedName>
    <definedName name="DCF_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da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ddda" hidden="1">{#N/A,#N/A,FALSE,"DIR-REP";#N/A,#N/A,FALSE,"AUD-REPORT";#N/A,#N/A,FALSE,"P7L&amp;BS";#N/A,#N/A,FALSE,"NOTES";#N/A,#N/A,FALSE,"FA";#N/A,#N/A,FALSE,"NOTES (2)";#N/A,#N/A,FALSE,"Schedule  IV";#N/A,#N/A,FALSE,"Schedule V"}</definedName>
    <definedName name="dddd" localSheetId="0" hidden="1">{#N/A,#N/A,FALSE,"BS";#N/A,#N/A,FALSE,"PL";#N/A,#N/A,FALSE,"처분";#N/A,#N/A,FALSE,"현금";#N/A,#N/A,FALSE,"매출";#N/A,#N/A,FALSE,"원가";#N/A,#N/A,FALSE,"경영"}</definedName>
    <definedName name="dddd" hidden="1">{#N/A,#N/A,FALSE,"BS";#N/A,#N/A,FALSE,"PL";#N/A,#N/A,FALSE,"처분";#N/A,#N/A,FALSE,"현금";#N/A,#N/A,FALSE,"매출";#N/A,#N/A,FALSE,"원가";#N/A,#N/A,FALSE,"경영"}</definedName>
    <definedName name="DDDD11" localSheetId="0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DDDD11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dddddv" localSheetId="0" hidden="1">{"EquityProfileSheet",#N/A,FALSE,"Table_Equity"}</definedName>
    <definedName name="dddddv" hidden="1">{"EquityProfileSheet",#N/A,FALSE,"Table_Equity"}</definedName>
    <definedName name="DDDdv" localSheetId="0" hidden="1">{"EquityProfileSheet",#N/A,FALSE,"Table_Equity"}</definedName>
    <definedName name="DDDdv" hidden="1">{"EquityProfileSheet",#N/A,FALSE,"Table_Equity"}</definedName>
    <definedName name="ddddw" localSheetId="0" hidden="1">{#N/A,#N/A,FALSE,"Summary";#N/A,#N/A,FALSE,"Month";#N/A,#N/A,FALSE,"YTD";#N/A,#N/A,FALSE,"Charts"}</definedName>
    <definedName name="ddddw" hidden="1">{#N/A,#N/A,FALSE,"Summary";#N/A,#N/A,FALSE,"Month";#N/A,#N/A,FALSE,"YTD";#N/A,#N/A,FALSE,"Charts"}</definedName>
    <definedName name="De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e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ebbie" localSheetId="0" hidden="1">{"FY03_Assets",#N/A,FALSE,"Fin Stmt Budget";"FY03_Liabilities",#N/A,FALSE,"Fin Stmt Budget";"FY03_Inc_Stmt",#N/A,FALSE,"Fin Stmt Budget";"FY03_SOCF",#N/A,FALSE,"Fin Stmt Budget"}</definedName>
    <definedName name="Debbie" hidden="1">{"FY03_Assets",#N/A,FALSE,"Fin Stmt Budget";"FY03_Liabilities",#N/A,FALSE,"Fin Stmt Budget";"FY03_Inc_Stmt",#N/A,FALSE,"Fin Stmt Budget";"FY03_SOCF",#N/A,FALSE,"Fin Stmt Budget"}</definedName>
    <definedName name="Debt2" localSheetId="0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Debt2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def" localSheetId="0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def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g" localSheetId="0" hidden="1">{"First Page",#N/A,FALSE,"Surfactants LBO";"Second Page",#N/A,FALSE,"Surfactants LBO"}</definedName>
    <definedName name="deg" hidden="1">{"First Page",#N/A,FALSE,"Surfactants LBO";"Second Page",#N/A,FALSE,"Surfactants LBO"}</definedName>
    <definedName name="delete" localSheetId="0" hidden="1">{"STMT OF CASH FLOWS",#N/A,FALSE,"Cash Flows Indirect"}</definedName>
    <definedName name="delete" hidden="1">{"STMT OF CASH FLOWS",#N/A,FALSE,"Cash Flows Indirect"}</definedName>
    <definedName name="delete.1" localSheetId="0" hidden="1">{"bs",#N/A,FALSE,"SCF"}</definedName>
    <definedName name="delete.1" hidden="1">{"bs",#N/A,FALSE,"SCF"}</definedName>
    <definedName name="delete.10" localSheetId="0" hidden="1">{"bs",#N/A,FALSE,"SCF"}</definedName>
    <definedName name="delete.10" hidden="1">{"bs",#N/A,FALSE,"SCF"}</definedName>
    <definedName name="delete.19" localSheetId="0" hidden="1">{"bs",#N/A,FALSE,"SCF"}</definedName>
    <definedName name="delete.19" hidden="1">{"bs",#N/A,FALSE,"SCF"}</definedName>
    <definedName name="delete.2" localSheetId="0" hidden="1">{"bs",#N/A,FALSE,"SCF"}</definedName>
    <definedName name="delete.2" hidden="1">{"bs",#N/A,FALSE,"SCF"}</definedName>
    <definedName name="delete.20" localSheetId="0" hidden="1">{"bs",#N/A,FALSE,"SCF"}</definedName>
    <definedName name="delete.20" hidden="1">{"bs",#N/A,FALSE,"SCF"}</definedName>
    <definedName name="delete.27" localSheetId="0" hidden="1">{"bs",#N/A,FALSE,"SCF"}</definedName>
    <definedName name="delete.27" hidden="1">{"bs",#N/A,FALSE,"SCF"}</definedName>
    <definedName name="delete.3" localSheetId="0" hidden="1">{"bs",#N/A,FALSE,"SCF"}</definedName>
    <definedName name="delete.3" hidden="1">{"bs",#N/A,FALSE,"SCF"}</definedName>
    <definedName name="delete.4" localSheetId="0" hidden="1">{"bs",#N/A,FALSE,"SCF"}</definedName>
    <definedName name="delete.4" hidden="1">{"bs",#N/A,FALSE,"SCF"}</definedName>
    <definedName name="delete.5" localSheetId="0" hidden="1">{"bs",#N/A,FALSE,"SCF"}</definedName>
    <definedName name="delete.5" hidden="1">{"bs",#N/A,FALSE,"SCF"}</definedName>
    <definedName name="delete.6" localSheetId="0" hidden="1">{"bs",#N/A,FALSE,"SCF"}</definedName>
    <definedName name="delete.6" hidden="1">{"bs",#N/A,FALSE,"SCF"}</definedName>
    <definedName name="delete.7" localSheetId="0" hidden="1">{"bs",#N/A,FALSE,"SCF"}</definedName>
    <definedName name="delete.7" hidden="1">{"bs",#N/A,FALSE,"SCF"}</definedName>
    <definedName name="delete.8" localSheetId="0" hidden="1">{"bs",#N/A,FALSE,"SCF"}</definedName>
    <definedName name="delete.8" hidden="1">{"bs",#N/A,FALSE,"SCF"}</definedName>
    <definedName name="delete1" localSheetId="0" hidden="1">{"bs",#N/A,FALSE,"SCF"}</definedName>
    <definedName name="delete1" hidden="1">{"bs",#N/A,FALSE,"SCF"}</definedName>
    <definedName name="delete11" localSheetId="0" hidden="1">{"Page1",#N/A,FALSE,"CompCo";"Page2",#N/A,FALSE,"CompCo"}</definedName>
    <definedName name="delete11" hidden="1">{"Page1",#N/A,FALSE,"CompCo";"Page2",#N/A,FALSE,"CompCo"}</definedName>
    <definedName name="delete15" localSheetId="0" hidden="1">{"bs",#N/A,FALSE,"SCF"}</definedName>
    <definedName name="delete15" hidden="1">{"bs",#N/A,FALSE,"SCF"}</definedName>
    <definedName name="delete19" localSheetId="0" hidden="1">{"bs",#N/A,FALSE,"SCF"}</definedName>
    <definedName name="delete19" hidden="1">{"bs",#N/A,FALSE,"SCF"}</definedName>
    <definedName name="delete1b" localSheetId="0" hidden="1">{"bs",#N/A,FALSE,"SCF"}</definedName>
    <definedName name="delete1b" hidden="1">{"bs",#N/A,FALSE,"SCF"}</definedName>
    <definedName name="delete1bc" localSheetId="0" hidden="1">{"bs",#N/A,FALSE,"SCF"}</definedName>
    <definedName name="delete1bc" hidden="1">{"bs",#N/A,FALSE,"SCF"}</definedName>
    <definedName name="delete1c" localSheetId="0" hidden="1">{"bs",#N/A,FALSE,"SCF"}</definedName>
    <definedName name="delete1c" hidden="1">{"bs",#N/A,FALSE,"SCF"}</definedName>
    <definedName name="delete2" localSheetId="0" hidden="1">{"bs",#N/A,FALSE,"SCF"}</definedName>
    <definedName name="delete2" hidden="1">{"BALANCE SHEET ACCTS",#N/A,TRUE,"Working Trial Balance";"INCOME STMT ACCTS",#N/A,TRUE,"Working Trial Balance"}</definedName>
    <definedName name="delete20" localSheetId="0" hidden="1">{"Page1",#N/A,FALSE,"CompCo";"Page2",#N/A,FALSE,"CompCo"}</definedName>
    <definedName name="delete20" hidden="1">{"Page1",#N/A,FALSE,"CompCo";"Page2",#N/A,FALSE,"CompCo"}</definedName>
    <definedName name="delete27" localSheetId="0" hidden="1">{"bs",#N/A,FALSE,"SCF"}</definedName>
    <definedName name="delete27" hidden="1">{"bs",#N/A,FALSE,"SCF"}</definedName>
    <definedName name="delete3" localSheetId="0" hidden="1">{"bs",#N/A,FALSE,"SCF"}</definedName>
    <definedName name="delete3" hidden="1">{"bs",#N/A,FALSE,"SCF"}</definedName>
    <definedName name="delete4" localSheetId="0" hidden="1">{"bs",#N/A,FALSE,"SCF"}</definedName>
    <definedName name="delete4" hidden="1">{"bs",#N/A,FALSE,"SCF"}</definedName>
    <definedName name="delete5" localSheetId="0" hidden="1">{"Page1",#N/A,FALSE,"CompCo";"Page2",#N/A,FALSE,"CompCo"}</definedName>
    <definedName name="delete5" hidden="1">{"Page1",#N/A,FALSE,"CompCo";"Page2",#N/A,FALSE,"CompCo"}</definedName>
    <definedName name="delete6" localSheetId="0" hidden="1">{"bs",#N/A,FALSE,"SCF"}</definedName>
    <definedName name="delete6" hidden="1">{"bs",#N/A,FALSE,"SCF"}</definedName>
    <definedName name="delete7" localSheetId="0" hidden="1">{"bs",#N/A,FALSE,"SCF"}</definedName>
    <definedName name="delete7" hidden="1">{"bs",#N/A,FALSE,"SCF"}</definedName>
    <definedName name="delete8" localSheetId="0" hidden="1">{"bs",#N/A,FALSE,"SCF"}</definedName>
    <definedName name="delete8" hidden="1">{"bs",#N/A,FALSE,"SCF"}</definedName>
    <definedName name="DeleteRange" localSheetId="0" hidden="1">#REF!</definedName>
    <definedName name="DeleteRange" hidden="1">#REF!</definedName>
    <definedName name="DeleteTable" localSheetId="0" hidden="1">#REF!</definedName>
    <definedName name="DeleteTable" hidden="1">#REF!</definedName>
    <definedName name="DEX" hidden="1">#REF!</definedName>
    <definedName name="df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a" hidden="1">#REF!</definedName>
    <definedName name="dfagsq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dfagsq" hidden="1">{#N/A,#N/A,FALSE,"DIR-REP";#N/A,#N/A,FALSE,"AUD-REPORT";#N/A,#N/A,FALSE,"P7L&amp;BS";#N/A,#N/A,FALSE,"NOTES";#N/A,#N/A,FALSE,"FA";#N/A,#N/A,FALSE,"NOTES (2)";#N/A,#N/A,FALSE,"Schedule  IV";#N/A,#N/A,FALSE,"Schedule V"}</definedName>
    <definedName name="dfahgad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ahga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as" hidden="1">#REF!</definedName>
    <definedName name="dfasdf" localSheetId="0" hidden="1">{#N/A,#N/A,FALSE,"Detail";#N/A,#N/A,FALSE,"%s";#N/A,#N/A,FALSE,"Fund I";#N/A,#N/A,FALSE,"Fund II ";#N/A,#N/A,FALSE,"Fund III";#N/A,#N/A,FALSE,"public companies"}</definedName>
    <definedName name="dfasdf" hidden="1">{#N/A,#N/A,FALSE,"Detail";#N/A,#N/A,FALSE,"%s";#N/A,#N/A,FALSE,"Fund I";#N/A,#N/A,FALSE,"Fund II ";#N/A,#N/A,FALSE,"Fund III";#N/A,#N/A,FALSE,"public companies"}</definedName>
    <definedName name="dfd" localSheetId="0" hidden="1">{"FCB_ALL",#N/A,FALSE,"FCB";"GREY_ALL",#N/A,FALSE,"GREY"}</definedName>
    <definedName name="dfd" hidden="1">{"comp1",#N/A,FALSE,"COMPS";"footnotes",#N/A,FALSE,"COMPS"}</definedName>
    <definedName name="dfdas" localSheetId="0" hidden="1">{"FCB_ALL",#N/A,FALSE,"FCB";"GREY_ALL",#N/A,FALSE,"GREY"}</definedName>
    <definedName name="dfdas" hidden="1">{"FCB_ALL",#N/A,FALSE,"FCB";"GREY_ALL",#N/A,FALSE,"GREY"}</definedName>
    <definedName name="dfdddd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dd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fd" localSheetId="0" hidden="1">{"FCB_ALL",#N/A,FALSE,"FCB";"GREY_ALL",#N/A,FALSE,"GREY"}</definedName>
    <definedName name="dfdfd" hidden="1">{"FCB_ALL",#N/A,FALSE,"FCB";"GREY_ALL",#N/A,FALSE,"GREY"}</definedName>
    <definedName name="dfdfdfd" localSheetId="0" hidden="1">{"FCB_ALL",#N/A,FALSE,"FCB"}</definedName>
    <definedName name="dfdfdfd" hidden="1">{#N/A,#N/A,FALSE,"AD_Purchase";#N/A,#N/A,FALSE,"Credit";#N/A,#N/A,FALSE,"PF Acquisition";#N/A,#N/A,FALSE,"PF Offering"}</definedName>
    <definedName name="DFDHTRH" hidden="1">#REF!</definedName>
    <definedName name="dfef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dfef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df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au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eau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g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d" localSheetId="0" hidden="1">{"subs",#N/A,FALSE,"database ";"proportional",#N/A,FALSE,"database "}</definedName>
    <definedName name="dfgd" hidden="1">{"subs",#N/A,FALSE,"database ";"proportional",#N/A,FALSE,"database "}</definedName>
    <definedName name="dfgdf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dfgdf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dfgdg" localSheetId="0" hidden="1">{#N/A,#N/A,FALSE,"Detail";#N/A,#N/A,FALSE,"%s";#N/A,#N/A,FALSE,"Fund I";#N/A,#N/A,FALSE,"Fund II ";#N/A,#N/A,FALSE,"Fund III";#N/A,#N/A,FALSE,"public companies"}</definedName>
    <definedName name="dfgdg" hidden="1">{#N/A,#N/A,FALSE,"Detail";#N/A,#N/A,FALSE,"%s";#N/A,#N/A,FALSE,"Fund I";#N/A,#N/A,FALSE,"Fund II ";#N/A,#N/A,FALSE,"Fund III";#N/A,#N/A,FALSE,"public companies"}</definedName>
    <definedName name="dfgfd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dfgfd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dfgfdc" hidden="1">#REF!</definedName>
    <definedName name="dfgfgdf" localSheetId="0" hidden="1">{#N/A,#N/A,FALSE,"Detail";#N/A,#N/A,FALSE,"%s";#N/A,#N/A,FALSE,"Fund I";#N/A,#N/A,FALSE,"Fund II ";#N/A,#N/A,FALSE,"Fund III";#N/A,#N/A,FALSE,"public companies"}</definedName>
    <definedName name="dfgfgdf" hidden="1">{#N/A,#N/A,FALSE,"Detail";#N/A,#N/A,FALSE,"%s";#N/A,#N/A,FALSE,"Fund I";#N/A,#N/A,FALSE,"Fund II ";#N/A,#N/A,FALSE,"Fund III";#N/A,#N/A,FALSE,"public companies"}</definedName>
    <definedName name="dfgsdfg" localSheetId="0" hidden="1">{2;#N/A;"R13C16:R17C16";#N/A;"R13C14:R17C15";FALSE;FALSE;FALSE;95;#N/A;#N/A;"R13C19";#N/A;FALSE;FALSE;FALSE;FALSE;#N/A;"";#N/A;FALSE;"";"";#N/A;#N/A;#N/A}</definedName>
    <definedName name="dfgsdfg" hidden="1">{2;#N/A;"R13C16:R17C16";#N/A;"R13C14:R17C15";FALSE;FALSE;FALSE;95;#N/A;#N/A;"R13C19";#N/A;FALSE;FALSE;FALSE;FALSE;#N/A;"";#N/A;FALSE;"";"";#N/A;#N/A;#N/A}</definedName>
    <definedName name="dfhdfagdf" localSheetId="0" hidden="1">{"cap_structure",#N/A,FALSE,"Graph-Mkt Cap";"price",#N/A,FALSE,"Graph-Price";"ebit",#N/A,FALSE,"Graph-EBITDA";"ebitda",#N/A,FALSE,"Graph-EBITDA"}</definedName>
    <definedName name="dfhdfagdf" hidden="1">{"cap_structure",#N/A,FALSE,"Graph-Mkt Cap";"price",#N/A,FALSE,"Graph-Price";"ebit",#N/A,FALSE,"Graph-EBITDA";"ebitda",#N/A,FALSE,"Graph-EBITDA"}</definedName>
    <definedName name="DFHDHDHDH" hidden="1">#REF!</definedName>
    <definedName name="dfj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sl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s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dfs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dfsdfd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fsdfd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fsz" hidden="1">#REF!</definedName>
    <definedName name="dg" localSheetId="0" hidden="1">{"Area1",#N/A,FALSE,"OREWACC";"Area2",#N/A,FALSE,"OREWACC"}</definedName>
    <definedName name="dg" hidden="1">{#N/A,#N/A,FALSE,"Summary";#N/A,#N/A,FALSE,"Month";#N/A,#N/A,FALSE,"YTD";#N/A,#N/A,FALSE,"Charts"}</definedName>
    <definedName name="dgasdg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gasdg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gdg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gdg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gdgdgfdg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localSheetId="0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sa" localSheetId="0" hidden="1">{"'TYPE (2)'!$A$1:$Q$76"}</definedName>
    <definedName name="dgdsa" hidden="1">{"'TYPE (2)'!$A$1:$Q$76"}</definedName>
    <definedName name="dgergf" localSheetId="0" hidden="1">{"ProjLC",#N/A,FALSE,"LOCALwithADJ";"ProjUSD",#N/A,FALSE,"USwithADJ"}</definedName>
    <definedName name="dgergf" hidden="1">{"ProjLC",#N/A,FALSE,"LOCALwithADJ";"ProjUSD",#N/A,FALSE,"USwithADJ"}</definedName>
    <definedName name="dgfdg" localSheetId="0" hidden="1">{"en_tete",#N/A,FALSE,"Index";"vue",#N/A,FALSE,"P.-0";#N/A,#N/A,FALSE,"P.-1";#N/A,#N/A,FALSE,"P.- 2a";#N/A,#N/A,FALSE,"P.- 3";#N/A,#N/A,FALSE,"P.- 4";#N/A,#N/A,FALSE,"B.-4b";#N/A,#N/A,FALSE,"B.-8"}</definedName>
    <definedName name="dgfdg" hidden="1">{"en_tete",#N/A,FALSE,"Index";"vue",#N/A,FALSE,"P.-0";#N/A,#N/A,FALSE,"P.-1";#N/A,#N/A,FALSE,"P.- 2a";#N/A,#N/A,FALSE,"P.- 3";#N/A,#N/A,FALSE,"P.- 4";#N/A,#N/A,FALSE,"B.-4b";#N/A,#N/A,FALSE,"B.-8"}</definedName>
    <definedName name="dgfgasd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gfgasd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gfhgf" localSheetId="0" hidden="1">{#N/A,#N/A,FALSE,"ORIX CSC"}</definedName>
    <definedName name="dgfhgf" hidden="1">{#N/A,#N/A,FALSE,"ORIX CSC"}</definedName>
    <definedName name="dghh" localSheetId="0" hidden="1">{#N/A,#N/A,FALSE,"AOP Summary";#N/A,#N/A,FALSE,"E.C. Reports";#N/A,#N/A,FALSE,"SADA";#N/A,#N/A,FALSE,"SADA VARIANCE";#N/A,#N/A,FALSE,"Market Share";#N/A,#N/A,FALSE,"Fisher Data"}</definedName>
    <definedName name="dghh" hidden="1">{#N/A,#N/A,FALSE,"AOP Summary";#N/A,#N/A,FALSE,"E.C. Reports";#N/A,#N/A,FALSE,"SADA";#N/A,#N/A,FALSE,"SADA VARIANCE";#N/A,#N/A,FALSE,"Market Share";#N/A,#N/A,FALSE,"Fisher Data"}</definedName>
    <definedName name="dgsrthstr" hidden="1">#REF!</definedName>
    <definedName name="DHG" localSheetId="0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hgdh" localSheetId="0" hidden="1">{"mgmt forecast",#N/A,FALSE,"Mgmt Forecast";"dcf table",#N/A,FALSE,"Mgmt Forecast";"sensitivity",#N/A,FALSE,"Mgmt Forecast";"table inputs",#N/A,FALSE,"Mgmt Forecast";"calculations",#N/A,FALSE,"Mgmt Forecast"}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thjdc" localSheetId="0" hidden="1">{0,0,"",0}</definedName>
    <definedName name="dhthjdc" hidden="1">{0,0,"",0}</definedName>
    <definedName name="Diable" localSheetId="0" hidden="1">{#N/A,#N/A,FALSE,"Operations";#N/A,#N/A,FALSE,"Financials"}</definedName>
    <definedName name="Diable" hidden="1">{#N/A,#N/A,FALSE,"Operations";#N/A,#N/A,FALSE,"Financials"}</definedName>
    <definedName name="Diag_DCF" localSheetId="0" hidden="1">{#N/A,#N/A,TRUE,"Cover sheet";#N/A,#N/A,TRUE,"INPUTS";#N/A,#N/A,TRUE,"OUTPUTS";#N/A,#N/A,TRUE,"VALUATION"}</definedName>
    <definedName name="Diag_DCF" hidden="1">{#N/A,#N/A,TRUE,"Cover sheet";#N/A,#N/A,TRUE,"INPUTS";#N/A,#N/A,TRUE,"OUTPUTS";#N/A,#N/A,TRUE,"VALUATION"}</definedName>
    <definedName name="Diag_min_max2" localSheetId="0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C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DIC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Differences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stribution" localSheetId="0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distribution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dj" hidden="1">#REF!</definedName>
    <definedName name="djd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vcirejfr4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o" hidden="1">#REF!</definedName>
    <definedName name="djos" hidden="1">#REF!</definedName>
    <definedName name="djsadj" localSheetId="0" hidden="1">{#N/A,#N/A,FALSE,"970301";#N/A,#N/A,FALSE,"970302";#N/A,#N/A,FALSE,"970303";#N/A,#N/A,FALSE,"970304";#N/A,#N/A,FALSE,"COM1";#N/A,#N/A,FALSE,"COM2"}</definedName>
    <definedName name="djsadj" hidden="1">{#N/A,#N/A,FALSE,"970301";#N/A,#N/A,FALSE,"970302";#N/A,#N/A,FALSE,"970303";#N/A,#N/A,FALSE,"970304";#N/A,#N/A,FALSE,"COM1";#N/A,#N/A,FALSE,"COM2"}</definedName>
    <definedName name="djxos" hidden="1">#REF!</definedName>
    <definedName name="d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vnkefv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lg_typs" localSheetId="0" hidden="1">{"EXCELHLP.HLP!1802";5;10;5;10;13;13;13;8;5;5;10;14;13;13;13;13;5;10;14;13;5;10;1;2;24}</definedName>
    <definedName name="dlg_typs" hidden="1">{"EXCELHLP.HLP!1802";5;10;5;10;13;13;13;8;5;5;10;14;13;13;13;13;5;10;14;13;5;10;1;2;24}</definedName>
    <definedName name="DLOV_oracle_apps_projects_costing_transactions_fdiupload_ui_ThirdPartyCostedTxnUploadPageDef_DocumentId_TransactionSourceId_0" hidden="1">#REF!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atla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a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h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ncaster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ug" localSheetId="0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oug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own" localSheetId="0" hidden="1">{#N/A,#N/A,FALSE,"Umsatz";#N/A,#N/A,FALSE,"Base V.02";#N/A,#N/A,FALSE,"Charts"}</definedName>
    <definedName name="down" hidden="1">{#N/A,#N/A,FALSE,"Umsatz";#N/A,#N/A,FALSE,"Base V.02";#N/A,#N/A,FALSE,"Charts"}</definedName>
    <definedName name="DPL" localSheetId="0" hidden="1">#REF!</definedName>
    <definedName name="DPL" hidden="1">#REF!</definedName>
    <definedName name="dqdsqd" localSheetId="0" hidden="1">{#N/A,#N/A,FALSE,"CBE";#N/A,#N/A,FALSE,"SWK"}</definedName>
    <definedName name="dqdsqd" hidden="1">{#N/A,#N/A,FALSE,"CBE";#N/A,#N/A,FALSE,"SWK"}</definedName>
    <definedName name="draka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gdrrg" localSheetId="0" hidden="1">{0,0,"",0}</definedName>
    <definedName name="drgdrrg" hidden="1">{0,0,"",0}</definedName>
    <definedName name="ds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sa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dsa" hidden="1">{#N/A,#N/A,FALSE,"DIR-REP";#N/A,#N/A,FALSE,"AUD-REPORT";#N/A,#N/A,FALSE,"P7L&amp;BS";#N/A,#N/A,FALSE,"NOTES";#N/A,#N/A,FALSE,"FA";#N/A,#N/A,FALSE,"NOTES (2)";#N/A,#N/A,FALSE,"Schedule  IV";#N/A,#N/A,FALSE,"Schedule V"}</definedName>
    <definedName name="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hidden="1">{"mgmt forecast",#N/A,FALSE,"Mgmt Forecast";"dcf table",#N/A,FALSE,"Mgmt Forecast";"sensitivity",#N/A,FALSE,"Mgmt Forecast";"table inputs",#N/A,FALSE,"Mgmt Forecast";"calculations",#N/A,FALSE,"Mgmt Forecast"}</definedName>
    <definedName name="dsa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localSheetId="0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d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dsd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dsdf" hidden="1">#REF!</definedName>
    <definedName name="dsdsfa" hidden="1">#REF!</definedName>
    <definedName name="dsf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dsf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dsfas" hidden="1">#REF!</definedName>
    <definedName name="dsffd" localSheetId="0" hidden="1">{"'TYPE (2)'!$A$1:$Q$76"}</definedName>
    <definedName name="dsffd" hidden="1">{"'TYPE (2)'!$A$1:$Q$76"}</definedName>
    <definedName name="dsggd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kjlo" hidden="1">#REF!</definedName>
    <definedName name="dsqdsqdsqdsq" localSheetId="0" hidden="1">{"comp1",#N/A,FALSE,"COMPS";"footnotes",#N/A,FALSE,"COMPS"}</definedName>
    <definedName name="dsqdsqdsqdsq" hidden="1">{"comp1",#N/A,FALSE,"COMPS";"footnotes",#N/A,FALSE,"COMPS"}</definedName>
    <definedName name="dss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tao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dtaot" hidden="1">{#N/A,#N/A,FALSE,"DIR-REP";#N/A,#N/A,FALSE,"AUD-REPORT";#N/A,#N/A,FALSE,"P7L&amp;BS";#N/A,#N/A,FALSE,"NOTES";#N/A,#N/A,FALSE,"FA";#N/A,#N/A,FALSE,"NOTES (2)";#N/A,#N/A,FALSE,"Schedule  IV";#N/A,#N/A,FALSE,"Schedule V"}</definedName>
    <definedName name="duplicate123A" hidden="1">#REF!</definedName>
    <definedName name="dv" hidden="1">#REF!</definedName>
    <definedName name="dvdfv" localSheetId="0" hidden="1">{"VWJECAN",#N/A,FALSE,"D"}</definedName>
    <definedName name="dvdfv" hidden="1">{"VWJECAN",#N/A,FALSE,"D"}</definedName>
    <definedName name="DVSa" localSheetId="0" hidden="1">{#N/A,#N/A,FALSE,"TAXC.INDEX";#N/A,#N/A,FALSE,"Schedule I";#N/A,#N/A,FALSE,"Schedule  II";#N/A,#N/A,FALSE,"Schedule III"}</definedName>
    <definedName name="DVSa" hidden="1">{#N/A,#N/A,FALSE,"TAXC.INDEX";#N/A,#N/A,FALSE,"Schedule I";#N/A,#N/A,FALSE,"Schedule  II";#N/A,#N/A,FALSE,"Schedule III"}</definedName>
    <definedName name="dvv" localSheetId="0" hidden="1">{#N/A,#N/A,TRUE,"NIE_C";#N/A,#N/A,TRUE,"NIE";#N/A,#N/A,TRUE,"NIE_D";#N/A,#N/A,TRUE,"NIE_D_CC";#N/A,#N/A,TRUE,"HEA -- EXP"}</definedName>
    <definedName name="dvv" hidden="1">{#N/A,#N/A,TRUE,"NIE_C";#N/A,#N/A,TRUE,"NIE";#N/A,#N/A,TRUE,"NIE_D";#N/A,#N/A,TRUE,"NIE_D_CC";#N/A,#N/A,TRUE,"HEA -- EXP"}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dzfsdf" localSheetId="0" hidden="1">{#N/A,#N/A,TRUE,"FOC_Product_Assumptions"}</definedName>
    <definedName name="dzfsdf" hidden="1">{#N/A,#N/A,TRUE,"FOC_Product_Assumptions"}</definedName>
    <definedName name="e" localSheetId="0" hidden="1">{"Summary",#N/A,FALSE,"Summary"}</definedName>
    <definedName name="e" hidden="1">{"Summary",#N/A,FALSE,"Summary"}</definedName>
    <definedName name="e.xls" localSheetId="0" hidden="1">{#N/A,#N/A,FALSE,"OffAdvance";#N/A,#N/A,FALSE,"OffExpRprt";#N/A,#N/A,FALSE,"Entertmnt";#N/A,#N/A,FALSE,"Promotion";#N/A,#N/A,FALSE,"Travelling"}</definedName>
    <definedName name="e.xls" hidden="1">{#N/A,#N/A,FALSE,"OffAdvance";#N/A,#N/A,FALSE,"OffExpRprt";#N/A,#N/A,FALSE,"Entertmnt";#N/A,#N/A,FALSE,"Promotion";#N/A,#N/A,FALSE,"Travelling"}</definedName>
    <definedName name="e4r5" localSheetId="0" hidden="1">{#N/A,#N/A,FALSE,"Barranca"}</definedName>
    <definedName name="e4r5" hidden="1">{#N/A,#N/A,FALSE,"Barranca"}</definedName>
    <definedName name="e4rtg" localSheetId="0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4rtg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a" localSheetId="0" hidden="1">{#N/A,#N/A,TRUE,"Forecast &amp; Analysis";#N/A,#N/A,TRUE,"Market Values";#N/A,#N/A,TRUE,"Ratios";#N/A,#N/A,TRUE,"Regressions";#N/A,#N/A,TRUE,"Market Values";#N/A,#N/A,TRUE,"Parameters &amp; Results"}</definedName>
    <definedName name="ea" hidden="1">{#N/A,#N/A,TRUE,"Forecast &amp; Analysis";#N/A,#N/A,TRUE,"Market Values";#N/A,#N/A,TRUE,"Ratios";#N/A,#N/A,TRUE,"Regressions";#N/A,#N/A,TRUE,"Market Values";#N/A,#N/A,TRUE,"Parameters &amp; Results"}</definedName>
    <definedName name="earghdfh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arghdf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astcoast" localSheetId="0" hidden="1">{"FY04_Assets",#N/A,FALSE,"Fin Stmt Budget";"FY04_Liabilities",#N/A,FALSE,"Fin Stmt Budget";"FY04_Inc_Stmt",#N/A,FALSE,"Fin Stmt Budget";"FY04_SOCF",#N/A,FALSE,"Fin Stmt Budget"}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localSheetId="0" hidden="1">{"FY03_Assets",#N/A,FALSE,"Fin Stmt Budget";"FY03_Liabilities",#N/A,FALSE,"Fin Stmt Budget";"FY03_Inc_Stmt",#N/A,FALSE,"Fin Stmt Budget";"FY03_SOCF",#N/A,FALSE,"Fin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ay" localSheetId="0" hidden="1">{#N/A,#N/A,TRUE,"COVER";#N/A,#N/A,TRUE,"DIR";#N/A,#N/A,TRUE,"AUDIT"}</definedName>
    <definedName name="eay" hidden="1">{#N/A,#N/A,TRUE,"COVER";#N/A,#N/A,TRUE,"DIR";#N/A,#N/A,TRUE,"AUDIT"}</definedName>
    <definedName name="eccsecse" localSheetId="0" hidden="1">{0,0,"",0}</definedName>
    <definedName name="eccsecse" hidden="1">{0,0,"",0}</definedName>
    <definedName name="ed" localSheetId="0" hidden="1">{#N/A,#N/A,FALSE,"FAB VENDORS";"BUD SUM",#N/A,FALSE,"BUD SUM WO TEX"}</definedName>
    <definedName name="ed" hidden="1">{#N/A,#N/A,FALSE,"FAB VENDORS";"BUD SUM",#N/A,FALSE,"BUD SUM WO TEX"}</definedName>
    <definedName name="EDC" hidden="1">#REF!</definedName>
    <definedName name="ededed" localSheetId="0" hidden="1">{#N/A,#N/A,FALSE,"tipo prestatario";#N/A,#N/A,FALSE,"por importes";#N/A,#N/A,FALSE,"por plazos";#N/A,#N/A,FALSE,"por tipo  interes";#N/A,#N/A,FALSE,"desg. cart";#N/A,#N/A,FALSE,"act. dud. deuda"}</definedName>
    <definedName name="ededed" hidden="1">{#N/A,#N/A,FALSE,"tipo prestatario";#N/A,#N/A,FALSE,"por importes";#N/A,#N/A,FALSE,"por plazos";#N/A,#N/A,FALSE,"por tipo  interes";#N/A,#N/A,FALSE,"desg. cart";#N/A,#N/A,FALSE,"act. dud. deuda"}</definedName>
    <definedName name="edp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r" localSheetId="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edr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edsafsefs" localSheetId="0" hidden="1">{0,0,TRUE,0}</definedName>
    <definedName name="edsafsefs" hidden="1">{0,0,TRUE,0}</definedName>
    <definedName name="eeeeeedv" localSheetId="0" hidden="1">{"KeySummarySheet",#N/A,FALSE,"Key Summary"}</definedName>
    <definedName name="eeeeeedv" hidden="1">{"KeySummarySheet",#N/A,FALSE,"Key Summary"}</definedName>
    <definedName name="eeir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ir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r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re" localSheetId="0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" localSheetId="0" hidden="1">{#N/A,#N/A,FALSE,"II-2 POP.HH";#N/A,#N/A,FALSE,"II-3 AGE.DIST";#N/A,#N/A,FALSE,"II-4 HH.DIST";#N/A,#N/A,FALSE,"II-5 EMP.INDUS"}</definedName>
    <definedName name="ef" hidden="1">{#N/A,#N/A,FALSE,"II-2 POP.HH";#N/A,#N/A,FALSE,"II-3 AGE.DIST";#N/A,#N/A,FALSE,"II-4 HH.DIST";#N/A,#N/A,FALSE,"II-5 EMP.INDUS"}</definedName>
    <definedName name="efd" localSheetId="0" hidden="1">{#N/A,#N/A,FALSE,"II-2 POP.HH";#N/A,#N/A,FALSE,"II-3 AGE.DIST";#N/A,#N/A,FALSE,"II-4 HH.DIST";#N/A,#N/A,FALSE,"II-5 EMP.INDUS"}</definedName>
    <definedName name="efd" hidden="1">{#N/A,#N/A,FALSE,"II-2 POP.HH";#N/A,#N/A,FALSE,"II-3 AGE.DIST";#N/A,#N/A,FALSE,"II-4 HH.DIST";#N/A,#N/A,FALSE,"II-5 EMP.INDUS"}</definedName>
    <definedName name="efds" localSheetId="0" hidden="1">{#N/A,#N/A,FALSE,"970301";#N/A,#N/A,FALSE,"970302";#N/A,#N/A,FALSE,"970303";#N/A,#N/A,FALSE,"970304";#N/A,#N/A,FALSE,"COM1";#N/A,#N/A,FALSE,"COM2"}</definedName>
    <definedName name="efds" hidden="1">{#N/A,#N/A,FALSE,"970301";#N/A,#N/A,FALSE,"970302";#N/A,#N/A,FALSE,"970303";#N/A,#N/A,FALSE,"970304";#N/A,#N/A,FALSE,"COM1";#N/A,#N/A,FALSE,"COM2"}</definedName>
    <definedName name="efg" localSheetId="0" hidden="1">{#N/A,#N/A,FALSE,"pop.hh";#N/A,#N/A,FALSE,"age.dist";#N/A,#N/A,FALSE,"hh.income";#N/A,#N/A,FALSE,"hh.chars"}</definedName>
    <definedName name="efg" hidden="1">{#N/A,#N/A,FALSE,"pop.hh";#N/A,#N/A,FALSE,"age.dist";#N/A,#N/A,FALSE,"hh.income";#N/A,#N/A,FALSE,"hh.chars"}</definedName>
    <definedName name="efnedvcne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qef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Fq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frpoek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ight" hidden="1">#REF!,#REF!,#REF!</definedName>
    <definedName name="EJETJS" hidden="1">#REF!</definedName>
    <definedName name="ejl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j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JTRJ" hidden="1">#REF!</definedName>
    <definedName name="ekspo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ekspo" hidden="1">{#N/A,#N/A,FALSE,"DIR-REP";#N/A,#N/A,FALSE,"AUD-REPORT";#N/A,#N/A,FALSE,"P7L&amp;BS";#N/A,#N/A,FALSE,"NOTES";#N/A,#N/A,FALSE,"FA";#N/A,#N/A,FALSE,"NOTES (2)";#N/A,#N/A,FALSE,"Schedule  IV";#N/A,#N/A,FALSE,"Schedule V"}</definedName>
    <definedName name="emily" localSheetId="0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ploi" localSheetId="0" hidden="1">{"IS",#N/A,FALSE,"IS";"RPTIS",#N/A,FALSE,"RPTIS";"STATS",#N/A,FALSE,"STATS";"CELL",#N/A,FALSE,"CELL";"BS",#N/A,FALSE,"BS"}</definedName>
    <definedName name="Emploi" hidden="1">{"IS",#N/A,FALSE,"IS";"RPTIS",#N/A,FALSE,"RPTIS";"STATS",#N/A,FALSE,"STATS";"CELL",#N/A,FALSE,"CELL";"BS",#N/A,FALSE,"BS"}</definedName>
    <definedName name="Empty" hidden="1">#REF!</definedName>
    <definedName name="Empty1" hidden="1">#REF!</definedName>
    <definedName name="Empty2" hidden="1">#REF!</definedName>
    <definedName name="Enel" localSheetId="0" hidden="1">{#N/A,#N/A,TRUE,"Cover sheet";#N/A,#N/A,TRUE,"INPUTS";#N/A,#N/A,TRUE,"OUTPUTS";#N/A,#N/A,TRUE,"VALUATION"}</definedName>
    <definedName name="Enel" hidden="1">{#N/A,#N/A,TRUE,"Cover sheet";#N/A,#N/A,TRUE,"INPUTS";#N/A,#N/A,TRUE,"OUTPUTS";#N/A,#N/A,TRUE,"VALUATION"}</definedName>
    <definedName name="enough" localSheetId="0" hidden="1">{"Data Worksheet",#N/A,FALSE,"CAREY97"}</definedName>
    <definedName name="enough" hidden="1">{"Data Worksheet",#N/A,FALSE,"CAREY97"}</definedName>
    <definedName name="eo0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0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fjae" localSheetId="0" hidden="1">{#N/A,#N/A,TRUE,"COVER";#N/A,#N/A,TRUE,"DIR";#N/A,#N/A,TRUE,"AUDIT"}</definedName>
    <definedName name="eofjae" hidden="1">{#N/A,#N/A,TRUE,"COVER";#N/A,#N/A,TRUE,"DIR";#N/A,#N/A,TRUE,"AUDIT"}</definedName>
    <definedName name="eotl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eotl" hidden="1">{#N/A,#N/A,FALSE,"DIR-REP";#N/A,#N/A,FALSE,"AUD-REPORT";#N/A,#N/A,FALSE,"P7L&amp;BS";#N/A,#N/A,FALSE,"NOTES";#N/A,#N/A,FALSE,"FA";#N/A,#N/A,FALSE,"NOTES (2)";#N/A,#N/A,FALSE,"Schedule  IV";#N/A,#N/A,FALSE,"Schedule V"}</definedName>
    <definedName name="eotlajt" localSheetId="0" hidden="1">{#N/A,#N/A,TRUE,"COVER";#N/A,#N/A,TRUE,"DIR";#N/A,#N/A,TRUE,"AUDIT"}</definedName>
    <definedName name="eotlajt" hidden="1">{#N/A,#N/A,TRUE,"COVER";#N/A,#N/A,TRUE,"DIR";#N/A,#N/A,TRUE,"AUDIT"}</definedName>
    <definedName name="eotlse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ls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eots" hidden="1">{#N/A,#N/A,FALSE,"DIR-REP";#N/A,#N/A,FALSE,"AUD-REPORT";#N/A,#N/A,FALSE,"P7L&amp;BS";#N/A,#N/A,FALSE,"NOTES";#N/A,#N/A,FALSE,"FA";#N/A,#N/A,FALSE,"NOTES (2)";#N/A,#N/A,FALSE,"Schedule  IV";#N/A,#N/A,FALSE,"Schedule V"}</definedName>
    <definedName name="EPMWorkbookOptions_1" hidden="1">"VSgAAB+LCAAAAAAABADtmm2PojoUx99vst/B+F4p8qBOGDcs6mqiwOVhdm8mE1KkjmQRuAXHmW9/K4qK4qxjnBvxmjiRtOectr/+T1uZCt9ep17pBeHIDfz7Ml0F5RLyR4Hj+s/35Vk8rtB8+Vvr6xfhZ4B/20HwWwljYhqViJ8f3b1Gzn15EsfhHUXN5/PqnKkG+JmqAUBTv4YDfTRBU1heG7t/Nq64fhRDf4TKpNVSSZAC30ejRZtGIM0w"</definedName>
    <definedName name="EPMWorkbookOptions_2" hidden="1">"Rn784KJ5UpmpbsMYrkpJuQynaNnsuskYTcMZdpM2zQhhFaMxIvFGqEqGUW5ZXXVofVcl+ScNrMeVEwSIB+AFAP6uAQCgIhhSdjiinqxHWddUSx2IMnlW1M4v8jWGXoSeBGrR+qYvYhh67ghucTu6T2mMbJSt4tVQW4sO7LS75LNBVqIOVvVcx0F+250iP0p6edh008MoY0Os9EkwX8eQAi/ArRjPkEDlVLznmowix3NvdCtHooEYvcZd+BJg"</definedName>
    <definedName name="EPMWorkbookOptions_3" hidden="1">"Nyb9SqZh6bxXt+Pfc58nHvmLdeQRHSGn5yIM8WjibuK8a3NEf7oujuKtAeXX7wRaj/ow8GOttu1M3/1nhhKSiX5FSRKovNr3giynkCwNHKCZBr0VIG9yE18FOwi3gEAtH3KjR6EH31QchAjHby2a47kxsscVjnfYClsbNysNDqEKgKjGOnadrdvMouWsV07gAYzWMzdEU5ssdjlmWZXnGhCTpf8WpseU4lP1URW1jmz0aPKo0ZakyLqhmZLR"</definedName>
    <definedName name="EPMWorkbookOptions_4" hidden="1">"V2SyJOx5Hmgh1dbbxrREFs473/XuywsNlXeS8/1ZPs5XoP409nPCkRVL1I2iMxGoY4S1lRufnMhmu2+cnsoAsGR/Oz6T6WvN5AXGrFz7smoWXq3nhpIUGYohDopO5sLyWBKNzg9F+/vkVGYYjmNZ9vhUrn0glSFq2s0m26w4ts1UWI5uVOxxHVYg7zB2k+FqtbFzKamckiRqJZ+uVQM0bwHOegB00TV7Ri6iZJjFT+KzCkUS9Z41UOQfltHR"</definedName>
    <definedName name="EPMWorkbookOptions_5" hidden="1">"hjc0azTfFzlUt275s8uErCtM0Zlc2j6o6IZEThta5+SdkK/ToNGoH78TMte6E65ZZg9x5NQPii7bTwHTvZE5QKZH07UbmoPZpN7I5IqmRhdfNJe2QZoaASyd/kORTAnPM8wHXvqwV/rSJ0W5PNGZervoUj0jjY6pFZ3GhSWu0R+efqb9+P9cuCs91C4wZreZxQ+x6l+1osv1M6iA+o1KDhX+RmWfCv3/fr2TS6VeBWzRqVzONjjsiLqpdfT/"</definedName>
    <definedName name="EPMWorkbookOptions_6" hidden="1">"cBfkr+/omlJcntPUjtZX2n3pptKPGGV6k28kUHk3rzKlqTmJtn8dbbtw/wqboKExRtFE8ZUQ+emNo2xhYid5COJFUMXX4Ut6P2q3NDFNr+oRacYJxTTsfkXWfu6sJk3oRw8Qu9D20BDh502EvfKvXzZhV1cDW/8CPDy3cVUoAAA="</definedName>
    <definedName name="EPMWorkbookOptions_7" hidden="1">"jH0OD8PXb2uWvrSvOJ56WgV0Lr56Xj1ffftbUKHJqntpBqHYbNKFWCrtbe1Y61acWEu+zx5tTL4DzypwgaG7lCzJgda29jzeGMjxJjSwb1SyVONxWyl/2BqIbt/1J67pBSyGwsn2uPh63p86M8vFTkR2HUoJ7q2BkTE14Rjie6IbTjXR/vXLXjv8bwP9/wAV5nX1qEAAAA=="</definedName>
    <definedName name="EPMWorkbookOptions_8" hidden="1">"FxXP3ue/ceLe/nIltPl/AgAA//9eh0HKQC4AAA=="</definedName>
    <definedName name="eqewr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qewr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rase" localSheetId="0" hidden="1">{"summary report",#N/A,FALSE,"SUMMARY REPORT";"salary model ytd",#N/A,FALSE,"SALARY MODEL - YTD";"salary model mtd",#N/A,FALSE,"SALARY MODEL - MTD";"detail 311",#N/A,FALSE,"311 ACTUAL"}</definedName>
    <definedName name="Erase" hidden="1">{"summary report",#N/A,FALSE,"SUMMARY REPORT";"salary model ytd",#N/A,FALSE,"SALARY MODEL - YTD";"salary model mtd",#N/A,FALSE,"SALARY MODEL - MTD";"detail 311",#N/A,FALSE,"311 ACTUAL"}</definedName>
    <definedName name="ere" hidden="1">#REF!</definedName>
    <definedName name="erer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er" hidden="1">#REF!</definedName>
    <definedName name="ererer3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3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er" localSheetId="0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rerere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rew" localSheetId="0" hidden="1">{#N/A,#N/A,FALSE,"Sheet1"}</definedName>
    <definedName name="erew" hidden="1">{#N/A,#N/A,FALSE,"Sheet1"}</definedName>
    <definedName name="ERJWEAS" hidden="1">#REF!</definedName>
    <definedName name="ero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_Chk_2_Hdg" hidden="1">#REF!</definedName>
    <definedName name="Err_Chk_3_Hdg" hidden="1">#REF!</definedName>
    <definedName name="Err_Chk_4_Hdg" hidden="1">#REF!</definedName>
    <definedName name="Err_Chk_5_Hdg" hidden="1">#REF!</definedName>
    <definedName name="ertert" localSheetId="0" hidden="1">{#N/A,#N/A,FALSE,"UNIT";#N/A,#N/A,FALSE,"UNIT";#N/A,#N/A,FALSE,"계정"}</definedName>
    <definedName name="ertert" hidden="1">{#N/A,#N/A,FALSE,"UNIT";#N/A,#N/A,FALSE,"UNIT";#N/A,#N/A,FALSE,"계정"}</definedName>
    <definedName name="ertyui" localSheetId="0" hidden="1">{"FCB_ALL",#N/A,FALSE,"FCB";"GREY_ALL",#N/A,FALSE,"GREY"}</definedName>
    <definedName name="ertyui" hidden="1">{"FCB_ALL",#N/A,FALSE,"FCB";"GREY_ALL",#N/A,FALSE,"GREY"}</definedName>
    <definedName name="ERWERHH" hidden="1">#REF!</definedName>
    <definedName name="eseoe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e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la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esla" hidden="1">{#N/A,#N/A,FALSE,"DIR-REP";#N/A,#N/A,FALSE,"AUD-REPORT";#N/A,#N/A,FALSE,"P7L&amp;BS";#N/A,#N/A,FALSE,"NOTES";#N/A,#N/A,FALSE,"FA";#N/A,#N/A,FALSE,"NOTES (2)";#N/A,#N/A,FALSE,"Schedule  IV";#N/A,#N/A,FALSE,"Schedule V"}</definedName>
    <definedName name="esnrc9c1" hidden="1">#REF!</definedName>
    <definedName name="esot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PN" localSheetId="0" hidden="1">{"Pulp Production",#N/A,FALSE,"Pulp";"Pulp Earnings",#N/A,FALSE,"Pulp"}</definedName>
    <definedName name="ESPN" hidden="1">{"Pulp Production",#N/A,FALSE,"Pulp";"Pulp Earnings",#N/A,FALSE,"Pulp"}</definedName>
    <definedName name="Estafinnacxi2" localSheetId="0" hidden="1">{"Cuenta 21 (página 1)",#N/A,FALSE,"21 (1)"}</definedName>
    <definedName name="Estafinnacxi2" hidden="1">{"Cuenta 21 (página 1)",#N/A,FALSE,"21 (1)"}</definedName>
    <definedName name="esw" localSheetId="0" hidden="1">{#N/A,#N/A,FALSE,"TABLE_1 YTD- VALUES LAST YR(2)"}</definedName>
    <definedName name="esw" hidden="1">{#N/A,#N/A,FALSE,"TABLE_1 YTD- VALUES LAST YR(2)"}</definedName>
    <definedName name="etc" hidden="1">#REF!</definedName>
    <definedName name="ETJTRJRJ" hidden="1">#REF!</definedName>
    <definedName name="etls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tls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TRJE" hidden="1">#REF!</definedName>
    <definedName name="ETSKTRKTRKTRKTRK" hidden="1">#REF!</definedName>
    <definedName name="ettt" localSheetId="0" hidden="1">{#N/A,#N/A,FALSE,"Summary";#N/A,#N/A,FALSE,"Month";#N/A,#N/A,FALSE,"YTD";#N/A,#N/A,FALSE,"Charts"}</definedName>
    <definedName name="ettt" hidden="1">{#N/A,#N/A,FALSE,"Summary";#N/A,#N/A,FALSE,"Month";#N/A,#N/A,FALSE,"YTD";#N/A,#N/A,FALSE,"Charts"}</definedName>
    <definedName name="ev.Calculation" localSheetId="0" hidden="1">-4105</definedName>
    <definedName name="ev.Calculation" hidden="1">-4135</definedName>
    <definedName name="ev.Initialized" hidden="1">FALSE</definedName>
    <definedName name="EV__CVPARAMS__" hidden="1">"Consolidating!$B$17:$C$38;"</definedName>
    <definedName name="EV__EVCOM_OPTIONS__" hidden="1">8</definedName>
    <definedName name="EV__EXPOPTIONS__" hidden="1">0</definedName>
    <definedName name="EV__LASTREFTIME__" hidden="1">41291.3478240741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134217735</definedName>
    <definedName name="EV__WBVERSION__" hidden="1">0</definedName>
    <definedName name="ewfg" localSheetId="0" hidden="1">{#N/A,#N/A,FALSE,"Marketing";#N/A,#N/A,FALSE,"Selling";#N/A,#N/A,FALSE,"Promotional";#N/A,#N/A,FALSE,"Advertising"}</definedName>
    <definedName name="ewfg" hidden="1">{#N/A,#N/A,FALSE,"Marketing";#N/A,#N/A,FALSE,"Selling";#N/A,#N/A,FALSE,"Promotional";#N/A,#N/A,FALSE,"Advertising"}</definedName>
    <definedName name="ewg" hidden="1">#REF!</definedName>
    <definedName name="ewgw" localSheetId="0" hidden="1">{#N/A,#N/A,FALSE,"Admin";#N/A,#N/A,FALSE,"Other"}</definedName>
    <definedName name="ewgw" hidden="1">{#N/A,#N/A,FALSE,"Admin";#N/A,#N/A,FALSE,"Other"}</definedName>
    <definedName name="ewr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a" localSheetId="0" hidden="1">{#N/A,#N/A,FALSE,"PCAP";#N/A,#N/A,FALSE,"CAPCOMMITMENTS";#N/A,#N/A,FALSE,"CUMINCSUM";#N/A,#N/A,FALSE,"PERCENTAGES";#N/A,#N/A,FALSE,"INCALLOCATIONS";#N/A,#N/A,FALSE,"distributions";#N/A,#N/A,FALSE,"subsequent event";#N/A,#N/A,FALSE,"dist 2"}</definedName>
    <definedName name="ewra" hidden="1">{#N/A,#N/A,FALSE,"PCAP";#N/A,#N/A,FALSE,"CAPCOMMITMENTS";#N/A,#N/A,FALSE,"CUMINCSUM";#N/A,#N/A,FALSE,"PERCENTAGES";#N/A,#N/A,FALSE,"INCALLOCATIONS";#N/A,#N/A,FALSE,"distributions";#N/A,#N/A,FALSE,"subsequent event";#N/A,#N/A,FALSE,"dist 2"}</definedName>
    <definedName name="ewre" localSheetId="0" hidden="1">{#N/A,#N/A,FALSE,"OffAdvance";#N/A,#N/A,FALSE,"OffExpRprt";#N/A,#N/A,FALSE,"Entertmnt";#N/A,#N/A,FALSE,"Promotion";#N/A,#N/A,FALSE,"Travelling"}</definedName>
    <definedName name="ewre" hidden="1">{#N/A,#N/A,FALSE,"OffAdvance";#N/A,#N/A,FALSE,"OffExpRprt";#N/A,#N/A,FALSE,"Entertmnt";#N/A,#N/A,FALSE,"Promotion";#N/A,#N/A,FALSE,"Travelling"}</definedName>
    <definedName name="ewrewrew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ewrewrew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ewrt" localSheetId="0" hidden="1">{#N/A,#N/A,FALSE,"UNIT";#N/A,#N/A,FALSE,"UNIT";#N/A,#N/A,FALSE,"계정"}</definedName>
    <definedName name="ewrt" hidden="1">{#N/A,#N/A,FALSE,"UNIT";#N/A,#N/A,FALSE,"UNIT";#N/A,#N/A,FALSE,"계정"}</definedName>
    <definedName name="ewrwer" localSheetId="0" hidden="1">{#N/A,#N/A,FALSE,"ORIX CSC"}</definedName>
    <definedName name="ewrwer" hidden="1">{#N/A,#N/A,FALSE,"ORIX CSC"}</definedName>
    <definedName name="eww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eww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ewww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ewww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ExactAddinConnection" hidden="1">"998"</definedName>
    <definedName name="ExactAddinConnection.001" hidden="1">"EXC01\\MSSQLSERVER1;001;jmeijering;1"</definedName>
    <definedName name="ExactAddinConnection.306" hidden="1">"EXC01\\MSSQLSERVER1;306;jmeijering;1"</definedName>
    <definedName name="ExactAddinConnection.998" hidden="1">"WFNATSOL1;001;sobrien;1"</definedName>
    <definedName name="ExactAddinReports" hidden="1">24</definedName>
    <definedName name="exc" localSheetId="0" hidden="1">{"'Eng (page2)'!$A$1:$D$52"}</definedName>
    <definedName name="exc" hidden="1">{"'Eng (page2)'!$A$1:$D$52"}</definedName>
    <definedName name="Exchange_Rates" localSheetId="0" hidden="1">#REF!</definedName>
    <definedName name="Expired" hidden="1">FALSE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" localSheetId="0" hidden="1">{"P&amp;L",#N/A,TRUE,"HC";"P&amp;L Percents",#N/A,TRUE,"P&amp;L";"M&amp;A3 P&amp;L",#N/A,TRUE,"HC";"M&amp;A3 Pipeline",#N/A,TRUE,"HC";"Franchises",#N/A,TRUE,"HC";"CF&amp;BS",#N/A,TRUE,"HC"}</definedName>
    <definedName name="extr" hidden="1">{"P&amp;L",#N/A,TRUE,"HC";"P&amp;L Percents",#N/A,TRUE,"P&amp;L";"M&amp;A3 P&amp;L",#N/A,TRUE,"HC";"M&amp;A3 Pipeline",#N/A,TRUE,"HC";"Franchises",#N/A,TRUE,"HC";"CF&amp;BS",#N/A,TRUE,"HC"}</definedName>
    <definedName name="extr1" localSheetId="0" hidden="1">{"P&amp;L",#N/A,TRUE,"HC";"P&amp;L Percents",#N/A,TRUE,"P&amp;L";"M&amp;A3 P&amp;L",#N/A,TRUE,"HC";"M&amp;A3 Pipeline",#N/A,TRUE,"HC";"Franchises",#N/A,TRUE,"HC";"CF&amp;BS",#N/A,TRUE,"HC"}</definedName>
    <definedName name="extr1" hidden="1">{"P&amp;L",#N/A,TRUE,"HC";"P&amp;L Percents",#N/A,TRUE,"P&amp;L";"M&amp;A3 P&amp;L",#N/A,TRUE,"HC";"M&amp;A3 Pipeline",#N/A,TRUE,"HC";"Franchises",#N/A,TRUE,"HC";"CF&amp;BS",#N/A,TRUE,"HC"}</definedName>
    <definedName name="eyh" localSheetId="0" hidden="1">{#N/A,#N/A,FALSE,"BS";#N/A,#N/A,FALSE,"PL";#N/A,#N/A,FALSE,"SOE";#N/A,#N/A,FALSE,"SCF"}</definedName>
    <definedName name="eyh" hidden="1">{#N/A,#N/A,FALSE,"BS";#N/A,#N/A,FALSE,"PL";#N/A,#N/A,FALSE,"SOE";#N/A,#N/A,FALSE,"SCF"}</definedName>
    <definedName name="eyr" localSheetId="0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zeze" localSheetId="0" hidden="1">{#N/A,#N/A,FALSE,"Sheet1"}</definedName>
    <definedName name="ezeze" hidden="1">{#N/A,#N/A,FALSE,"Sheet1"}</definedName>
    <definedName name="f.xls" localSheetId="0" hidden="1">{#N/A,#N/A,FALSE,"OffAdvance";#N/A,#N/A,FALSE,"OffExpRprt";#N/A,#N/A,FALSE,"Travelling";#N/A,#N/A,FALSE,"Entertmnt";#N/A,#N/A,FALSE,"Promotion"}</definedName>
    <definedName name="f.xls" hidden="1">{#N/A,#N/A,FALSE,"OffAdvance";#N/A,#N/A,FALSE,"OffExpRprt";#N/A,#N/A,FALSE,"Travelling";#N/A,#N/A,FALSE,"Entertmnt";#N/A,#N/A,FALSE,"Promotion"}</definedName>
    <definedName name="f2f232f" localSheetId="0" hidden="1">{#N/A,#N/A,FALSE,"Virgin Flightdeck"}</definedName>
    <definedName name="f2f232f" hidden="1">{#N/A,#N/A,FALSE,"Virgin Flightdeck"}</definedName>
    <definedName name="FA" hidden="1">#REF!</definedName>
    <definedName name="FA_Depn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A_Depn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AD" hidden="1">#REF!</definedName>
    <definedName name="FADJUSTRS1" hidden="1">"ENCODE_"</definedName>
    <definedName name="fadsf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hfjkja" localSheetId="0" hidden="1">{"M1Print",#N/A,FALSE,"M1"}</definedName>
    <definedName name="fahfjkja" hidden="1">{"M1Print",#N/A,FALSE,"M1"}</definedName>
    <definedName name="Farlingto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as" localSheetId="0" hidden="1">{"'TYPE (2)'!$A$1:$Q$76"}</definedName>
    <definedName name="fas" hidden="1">{"'TYPE (2)'!$A$1:$Q$76"}</definedName>
    <definedName name="FASD" hidden="1">#REF!</definedName>
    <definedName name="fay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a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c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c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CALCSEQUENCE" hidden="1">"ENCODE_f5UfZ5ViRI0sAJViRI02Zcp2"</definedName>
    <definedName name="FCALCSEQUENCE_1" hidden="1">"ENCODE_sHPRkUFtz5FoiA=="</definedName>
    <definedName name="FCALCSEQUENCE_2" hidden="1">"ENCODE_z34lhCdglF42ZZRe2E4sADho+VtoiA=="</definedName>
    <definedName name="fcb" localSheetId="0" hidden="1">{"FCB_ALL",#N/A,FALSE,"FCB"}</definedName>
    <definedName name="fcb" hidden="1">{"FCB_ALL",#N/A,FALSE,"FCB"}</definedName>
    <definedName name="FCHECKOUTBY" hidden="1">-5</definedName>
    <definedName name="FCLASSID" hidden="1">-1</definedName>
    <definedName name="FCLASSID_1" hidden="1">12</definedName>
    <definedName name="FCLASSID_2" hidden="1">17</definedName>
    <definedName name="FCLASSVERNUMBER" hidden="1">-1</definedName>
    <definedName name="FCLASSVERNUMBER_1" hidden="1">1</definedName>
    <definedName name="FCOMPANYID" hidden="1">11</definedName>
    <definedName name="FCOMPANYID_1" hidden="1">1</definedName>
    <definedName name="FCRRPTSHEETORDER" hidden="1">"ENCODE_lWJEjTZlynZ8AHwAIwAjAHwAfAB/lR9nlWJEjXwAfAAjACMAfAB8AJViRI02Zcp2OGj5W2iIfAB8ACMAIwB8AHwAf5UfZ5ViRI04aPlbaIh8AHwAIwAjAHwAfAARXHBloYAcTjho+VtoiA=="</definedName>
    <definedName name="FCRRPTSHEETORDER_1" hidden="1">"ENCODE_sHPRkUFtz5FoiA=="</definedName>
    <definedName name="FCRRPTSHEETORDER_2" hidden="1">"ENCODE_UwBoAGUAZQB0ADEA"</definedName>
    <definedName name="FCURRENCYID" hidden="1">1</definedName>
    <definedName name="FCYCLEID" hidden="1">2</definedName>
    <definedName name="FD" localSheetId="0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a" localSheetId="0" hidden="1">{#N/A,#N/A,FALSE,"DCF Cov";#N/A,#N/A,FALSE,"dcf"}</definedName>
    <definedName name="fda" hidden="1">{#N/A,#N/A,FALSE,"DCF Cov";#N/A,#N/A,FALSE,"dcf"}</definedName>
    <definedName name="fdas" localSheetId="0" hidden="1">{"IS",#N/A,FALSE,"IS";"RPTIS",#N/A,FALSE,"RPTIS";"STATS",#N/A,FALSE,"STATS";"CELL",#N/A,FALSE,"CELL";"BS",#N/A,FALSE,"BS"}</definedName>
    <definedName name="fdas" hidden="1">{"IS",#N/A,FALSE,"IS";"RPTIS",#N/A,FALSE,"RPTIS";"STATS",#N/A,FALSE,"STATS";"CELL",#N/A,FALSE,"CELL";"BS",#N/A,FALSE,"BS"}</definedName>
    <definedName name="fdasfds" localSheetId="0" hidden="1">{#N/A,#N/A,TRUE,"Cover sheet";#N/A,#N/A,TRUE,"INPUTS";#N/A,#N/A,TRUE,"OUTPUTS";#N/A,#N/A,TRUE,"VALUATION"}</definedName>
    <definedName name="fdasfds" hidden="1">{#N/A,#N/A,TRUE,"Cover sheet";#N/A,#N/A,TRUE,"INPUTS";#N/A,#N/A,TRUE,"OUTPUTS";#N/A,#N/A,TRUE,"VALUATION"}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2_0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1" hidden="1">"#"</definedName>
    <definedName name="FDC_58_12" hidden="1">"#"</definedName>
    <definedName name="FDC_58_13" hidden="1">"#"</definedName>
    <definedName name="FDC_58_14" hidden="1">"#"</definedName>
    <definedName name="FDC_58_2" hidden="1">"#"</definedName>
    <definedName name="FDC_58_3" hidden="1">"#"</definedName>
    <definedName name="FDC_58_4" hidden="1">"#"</definedName>
    <definedName name="FDC_58_5" hidden="1">"#"</definedName>
    <definedName name="FDC_58_6" hidden="1">"#"</definedName>
    <definedName name="FDC_58_7" hidden="1">"#"</definedName>
    <definedName name="FDC_58_8" hidden="1">"#"</definedName>
    <definedName name="FDC_58_9" hidden="1">"#"</definedName>
    <definedName name="FDC_59_0" hidden="1">"#"</definedName>
    <definedName name="FDC_59_1" hidden="1">"#"</definedName>
    <definedName name="FDC_59_10" hidden="1">"#"</definedName>
    <definedName name="FDC_59_11" hidden="1">"#"</definedName>
    <definedName name="FDC_59_12" hidden="1">"#"</definedName>
    <definedName name="FDC_59_13" hidden="1">"#"</definedName>
    <definedName name="FDC_59_14" hidden="1">"#"</definedName>
    <definedName name="FDC_59_2" hidden="1">"#"</definedName>
    <definedName name="FDC_59_3" hidden="1">"#"</definedName>
    <definedName name="FDC_59_4" hidden="1">"#"</definedName>
    <definedName name="FDC_59_5" hidden="1">"#"</definedName>
    <definedName name="FDC_59_6" hidden="1">"#"</definedName>
    <definedName name="FDC_59_7" hidden="1">"#"</definedName>
    <definedName name="FDC_59_8" hidden="1">"#"</definedName>
    <definedName name="FDC_59_9" hidden="1">"#"</definedName>
    <definedName name="FDC_6_0" hidden="1">"#"</definedName>
    <definedName name="FDC_60_0" hidden="1">"#"</definedName>
    <definedName name="FDC_60_1" hidden="1">"#"</definedName>
    <definedName name="FDC_60_10" hidden="1">"#"</definedName>
    <definedName name="FDC_60_11" hidden="1">"#"</definedName>
    <definedName name="FDC_60_12" hidden="1">"#"</definedName>
    <definedName name="FDC_60_13" hidden="1">"#"</definedName>
    <definedName name="FDC_60_14" hidden="1">"#"</definedName>
    <definedName name="FDC_60_2" hidden="1">"#"</definedName>
    <definedName name="FDC_60_3" hidden="1">"#"</definedName>
    <definedName name="FDC_60_4" hidden="1">"#"</definedName>
    <definedName name="FDC_60_5" hidden="1">"#"</definedName>
    <definedName name="FDC_60_6" hidden="1">"#"</definedName>
    <definedName name="FDC_60_7" hidden="1">"#"</definedName>
    <definedName name="FDC_60_8" hidden="1">"#"</definedName>
    <definedName name="FDC_60_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1" hidden="1">"#"</definedName>
    <definedName name="FDC_62_12" hidden="1">"#"</definedName>
    <definedName name="FDC_62_13" hidden="1">"#"</definedName>
    <definedName name="FDC_62_14" hidden="1">"#"</definedName>
    <definedName name="FDC_62_2" hidden="1">"#"</definedName>
    <definedName name="FDC_62_3" hidden="1">"#"</definedName>
    <definedName name="FDC_62_4" hidden="1">"#"</definedName>
    <definedName name="FDC_62_5" hidden="1">"#"</definedName>
    <definedName name="FDC_62_6" hidden="1">"#"</definedName>
    <definedName name="FDC_62_7" hidden="1">"#"</definedName>
    <definedName name="FDC_62_8" hidden="1">"#"</definedName>
    <definedName name="FDC_62_9" hidden="1">"#"</definedName>
    <definedName name="FDC_63_0" hidden="1">"#"</definedName>
    <definedName name="FDC_63_1" hidden="1">"#"</definedName>
    <definedName name="FDC_63_10" hidden="1">"#"</definedName>
    <definedName name="FDC_63_11" hidden="1">"#"</definedName>
    <definedName name="FDC_63_12" hidden="1">"#"</definedName>
    <definedName name="FDC_63_13" hidden="1">"#"</definedName>
    <definedName name="FDC_63_14" hidden="1">"#"</definedName>
    <definedName name="FDC_63_2" hidden="1">"#"</definedName>
    <definedName name="FDC_63_3" hidden="1">"#"</definedName>
    <definedName name="FDC_63_4" hidden="1">"#"</definedName>
    <definedName name="FDC_63_5" hidden="1">"#"</definedName>
    <definedName name="FDC_63_6" hidden="1">"#"</definedName>
    <definedName name="FDC_63_7" hidden="1">"#"</definedName>
    <definedName name="FDC_63_8" hidden="1">"#"</definedName>
    <definedName name="FDC_63_9" hidden="1">"#"</definedName>
    <definedName name="FDC_64_0" hidden="1">"#"</definedName>
    <definedName name="FDC_64_1" hidden="1">"#"</definedName>
    <definedName name="FDC_64_10" hidden="1">"#"</definedName>
    <definedName name="FDC_64_11" hidden="1">"#"</definedName>
    <definedName name="FDC_64_12" hidden="1">"#"</definedName>
    <definedName name="FDC_64_13" hidden="1">"#"</definedName>
    <definedName name="FDC_64_14" hidden="1">"#"</definedName>
    <definedName name="FDC_64_2" hidden="1">"#"</definedName>
    <definedName name="FDC_64_3" hidden="1">"#"</definedName>
    <definedName name="FDC_64_4" hidden="1">"#"</definedName>
    <definedName name="FDC_64_5" hidden="1">"#"</definedName>
    <definedName name="FDC_64_6" hidden="1">"#"</definedName>
    <definedName name="FDC_64_7" hidden="1">"#"</definedName>
    <definedName name="FDC_64_8" hidden="1">"#"</definedName>
    <definedName name="FDC_64_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C肌71_6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ghdf" localSheetId="0" hidden="1">{"inputs raw data",#N/A,TRUE,"INPUT"}</definedName>
    <definedName name="fdfghdf" hidden="1">{"inputs raw data",#N/A,TRUE,"INPUT"}</definedName>
    <definedName name="fdg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fdg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fdgad" localSheetId="0" hidden="1">{"inputs raw data",#N/A,TRUE,"INPUT"}</definedName>
    <definedName name="fdgad" hidden="1">{"inputs raw data",#N/A,TRUE,"INPUT"}</definedName>
    <definedName name="fdh" localSheetId="0" hidden="1">{#N/A,#N/A,FALSE,"Summary";#N/A,#N/A,FALSE,"Month";#N/A,#N/A,FALSE,"YTD";#N/A,#N/A,FALSE,"Charts"}</definedName>
    <definedName name="fdh" hidden="1">{#N/A,#N/A,FALSE,"Summary";#N/A,#N/A,FALSE,"Month";#N/A,#N/A,FALSE,"YTD";#N/A,#N/A,FALSE,"Charts"}</definedName>
    <definedName name="fdhb" localSheetId="0" hidden="1">{#N/A,#N/A,FALSE,"AOP Summary";#N/A,#N/A,FALSE,"E.C. Reports";#N/A,#N/A,FALSE,"SADA";#N/A,#N/A,FALSE,"SADA VARIANCE";#N/A,#N/A,FALSE,"Market Share";#N/A,#N/A,FALSE,"Fisher Data"}</definedName>
    <definedName name="fdhb" hidden="1">{#N/A,#N/A,FALSE,"AOP Summary";#N/A,#N/A,FALSE,"E.C. Reports";#N/A,#N/A,FALSE,"SADA";#N/A,#N/A,FALSE,"SADA VARIANCE";#N/A,#N/A,FALSE,"Market Share";#N/A,#N/A,FALSE,"Fisher Data"}</definedName>
    <definedName name="fdhdf" localSheetId="0" hidden="1">{#N/A,#N/A,FALSE,"Summary";#N/A,#N/A,FALSE,"Month";#N/A,#N/A,FALSE,"YTD";#N/A,#N/A,FALSE,"Charts"}</definedName>
    <definedName name="fdhdf" hidden="1">{#N/A,#N/A,FALSE,"Summary";#N/A,#N/A,FALSE,"Month";#N/A,#N/A,FALSE,"YTD";#N/A,#N/A,FALSE,"Charts"}</definedName>
    <definedName name="fdhfdh" localSheetId="0" hidden="1">{"First Page",#N/A,FALSE,"Surfactants LBO";"Second Page",#N/A,FALSE,"Surfactants LBO"}</definedName>
    <definedName name="fdhfdh" hidden="1">{"First Page",#N/A,FALSE,"Surfactants LBO";"Second Page",#N/A,FALSE,"Surfactants LBO"}</definedName>
    <definedName name="FDHFDHHG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localSheetId="0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hhfhfgh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P_0_1_aD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8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0_1_aUrv" hidden="1">#REF!</definedName>
    <definedName name="FDP_121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Urv" hidden="1">#REF!</definedName>
    <definedName name="FDP_14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1_1_aUrv" hidden="1">#REF!</definedName>
    <definedName name="FDP_153_1_aUrv" hidden="1">#REF!</definedName>
    <definedName name="FDP_155_1_aUrv" hidden="1">#REF!</definedName>
    <definedName name="FDP_157_1_aUrv" hidden="1">#REF!</definedName>
    <definedName name="FDP_159_1_aUrv" hidden="1">#REF!</definedName>
    <definedName name="FDP_16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2_1_aDr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U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3_1_aDrv" hidden="1">#REF!</definedName>
    <definedName name="FDP_3_1_aUrv" hidden="1">#REF!</definedName>
    <definedName name="FDP_30_1_aUrv" hidden="1">#REF!</definedName>
    <definedName name="FDP_31_1_aUrv" hidden="1">#REF!</definedName>
    <definedName name="FDP_33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D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4_1_aUrv" hidden="1">#REF!</definedName>
    <definedName name="FDP_46_1_aUrv" hidden="1">#REF!</definedName>
    <definedName name="FDP_47_1_aUrv" hidden="1">#REF!</definedName>
    <definedName name="FDP_49_1_aUrv" hidden="1">#REF!</definedName>
    <definedName name="FDP_5_1_aDrv" hidden="1">#REF!</definedName>
    <definedName name="FDP_5_1_aUrv" hidden="1">#REF!</definedName>
    <definedName name="FDP_50_1_aUrv" hidden="1">#REF!</definedName>
    <definedName name="FDP_54_1_aUrv" hidden="1">#REF!</definedName>
    <definedName name="FDP_56_1_aUrv" hidden="1">#REF!</definedName>
    <definedName name="FDP_58_1_aUrv" hidden="1">#REF!</definedName>
    <definedName name="FDP_59_1_aUrv" hidden="1">#REF!</definedName>
    <definedName name="FDP_6_1_aD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Drv" hidden="1">#REF!</definedName>
    <definedName name="FDP_7_1_aUrv" hidden="1">#REF!</definedName>
    <definedName name="FDP_70_1_aUrv" hidden="1">#REF!</definedName>
    <definedName name="FDP_72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Drv" hidden="1">#REF!</definedName>
    <definedName name="FDP_8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Drv" hidden="1">#REF!</definedName>
    <definedName name="FDP_9_1_aUrv" hidden="1">#REF!</definedName>
    <definedName name="FDP_90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af" localSheetId="0" hidden="1">{#N/A,#N/A,TRUE,"Cover sheet";#N/A,#N/A,TRUE,"INPUTS";#N/A,#N/A,TRUE,"OUTPUTS";#N/A,#N/A,TRUE,"VALUATION"}</definedName>
    <definedName name="fdsaf" hidden="1">{#N/A,#N/A,TRUE,"Cover sheet";#N/A,#N/A,TRUE,"INPUTS";#N/A,#N/A,TRUE,"OUTPUTS";#N/A,#N/A,TRUE,"VALUATION"}</definedName>
    <definedName name="fdsf" localSheetId="0" hidden="1">{"general",#N/A,FALSE,"Assumptions"}</definedName>
    <definedName name="fdsf" hidden="1">{"general",#N/A,FALSE,"Assumptions"}</definedName>
    <definedName name="fdsfds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dsfd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dsfdsf" localSheetId="0" hidden="1">{0,0,FALSE,0}</definedName>
    <definedName name="fdsfdsf" hidden="1">{0,0,FALSE,0}</definedName>
    <definedName name="fdsfsd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e" localSheetId="0" hidden="1">{0,0,"",0}</definedName>
    <definedName name="fdsfse" hidden="1">{0,0,"",0}</definedName>
    <definedName name="fdsgfg" localSheetId="0" hidden="1">{#N/A,#N/A,FALSE,"Detail";#N/A,#N/A,FALSE,"%s";#N/A,#N/A,FALSE,"Fund I";#N/A,#N/A,FALSE,"Fund II ";#N/A,#N/A,FALSE,"Fund III";#N/A,#N/A,FALSE,"public companies"}</definedName>
    <definedName name="fdsgfg" hidden="1">{#N/A,#N/A,FALSE,"Detail";#N/A,#N/A,FALSE,"%s";#N/A,#N/A,FALSE,"Fund I";#N/A,#N/A,FALSE,"Fund II ";#N/A,#N/A,FALSE,"Fund III";#N/A,#N/A,FALSE,"public companies"}</definedName>
    <definedName name="fdssd" localSheetId="0" hidden="1">{0,0,"",0}</definedName>
    <definedName name="fdssd" hidden="1">{0,0,"",0}</definedName>
    <definedName name="Fdv" localSheetId="0" hidden="1">{"KeySummarySheet",#N/A,FALSE,"Key Summary"}</definedName>
    <definedName name="Fdv" hidden="1">{"KeySummarySheet",#N/A,FALSE,"Key Summary"}</definedName>
    <definedName name="fdvfdv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" localSheetId="0" hidden="1">{"Data Worksheet",#N/A,FALSE,"CAREY97"}</definedName>
    <definedName name="fe" hidden="1">{"Data Worksheet",#N/A,FALSE,"CAREY97"}</definedName>
    <definedName name="FEDC" hidden="1">#REF!</definedName>
    <definedName name="feeee" localSheetId="0" hidden="1">{#N/A,#N/A,FALSE,"主要经济指标完成情况表"}</definedName>
    <definedName name="feeee" hidden="1">{#N/A,#N/A,FALSE,"主要经济指标完成情况表"}</definedName>
    <definedName name="fefs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we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l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fel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fen" localSheetId="0" hidden="1">{#N/A,#N/A,FALSE,"Summary";#N/A,#N/A,FALSE,"Month";#N/A,#N/A,FALSE,"YTD";#N/A,#N/A,FALSE,"Charts"}</definedName>
    <definedName name="fen" hidden="1">{#N/A,#N/A,FALSE,"Summary";#N/A,#N/A,FALSE,"Month";#N/A,#N/A,FALSE,"YTD";#N/A,#N/A,FALSE,"Charts"}</definedName>
    <definedName name="ffff" localSheetId="0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ffff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fffff" hidden="1">#REF!</definedName>
    <definedName name="ffffff" localSheetId="0" hidden="1">{"ConstructionSheet",#N/A,FALSE,"Construction";"EquitySheet",#N/A,FALSE,"Equity";"InterimDebtSheet",#N/A,FALSE,"Interim Debt"}</definedName>
    <definedName name="ffffff" hidden="1">{"ConstructionSheet",#N/A,FALSE,"Construction";"EquitySheet",#N/A,FALSE,"Equity";"InterimDebtSheet",#N/A,FALSE,"Interim Debt"}</definedName>
    <definedName name="fffffffdv" localSheetId="0" hidden="1">{"ConstructionSheet",#N/A,FALSE,"Construction";"EquitySheet",#N/A,FALSE,"Equity";"InterimDebtSheet",#N/A,FALSE,"Interim Debt"}</definedName>
    <definedName name="fffffffdv" hidden="1">{"ConstructionSheet",#N/A,FALSE,"Construction";"EquitySheet",#N/A,FALSE,"Equity";"InterimDebtSheet",#N/A,FALSE,"Interim Debt"}</definedName>
    <definedName name="ffp" localSheetId="0" hidden="1">{#N/A,#N/A,FALSE,"Bezirk SW";#N/A,#N/A,FALSE,"Dir S (GK)";#N/A,#N/A,FALSE,"Dir FR (PK)"}</definedName>
    <definedName name="ffp" hidden="1">{#N/A,#N/A,FALSE,"Bezirk SW";#N/A,#N/A,FALSE,"Dir S (GK)";#N/A,#N/A,FALSE,"Dir FR (PK)"}</definedName>
    <definedName name="FGFR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gddf" localSheetId="0" hidden="1">{"Employee Efficiency",#N/A,FALSE,"Benchmarking"}</definedName>
    <definedName name="fggddf" hidden="1">{"Employee Efficiency",#N/A,FALSE,"Benchmarking"}</definedName>
    <definedName name="fghfghfgh" localSheetId="0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r" localSheetId="0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fgr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FHDI" localSheetId="0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fghfghfgh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g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h" localSheetId="0" hidden="1">{#N/A,#N/A,FALSE,"AOP Summary";#N/A,#N/A,FALSE,"E.C. Reports";#N/A,#N/A,FALSE,"SADA";#N/A,#N/A,FALSE,"SADA VARIANCE";#N/A,#N/A,FALSE,"Market Share";#N/A,#N/A,FALSE,"Fisher Data"}</definedName>
    <definedName name="fhh" hidden="1">{#N/A,#N/A,FALSE,"AOP Summary";#N/A,#N/A,FALSE,"E.C. Reports";#N/A,#N/A,FALSE,"SADA";#N/A,#N/A,FALSE,"SADA VARIANCE";#N/A,#N/A,FALSE,"Market Share";#N/A,#N/A,FALSE,"Fisher Data"}</definedName>
    <definedName name="fhj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hidden="1">#REF!</definedName>
    <definedName name="fill" hidden="1">#REF!</definedName>
    <definedName name="FILL2" hidden="1">#REF!</definedName>
    <definedName name="FILLLLLLL" hidden="1">#REF!</definedName>
    <definedName name="FIN" hidden="1">#REF!</definedName>
    <definedName name="FINALS" hidden="1">#REF!</definedName>
    <definedName name="financial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ind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d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SACCEPTED" hidden="1">0</definedName>
    <definedName name="FISACCEPTED_1" hidden="1">1</definedName>
    <definedName name="FISAUDIT" hidden="1">"ENCODE_MQA="</definedName>
    <definedName name="FISAUDIT_1" hidden="1">1</definedName>
    <definedName name="FISCHANGED" hidden="1">0</definedName>
    <definedName name="FISCHECKED" hidden="1">0</definedName>
    <definedName name="FISHOLDEN" hidden="1">0</definedName>
    <definedName name="FISSUBMITED" hidden="1">0</definedName>
    <definedName name="FISSUBMITED_1" hidden="1">1</definedName>
    <definedName name="FITEMLIST2" hidden="1">"ENCODE_"</definedName>
    <definedName name="five" hidden="1">#REF!,#REF!,#REF!</definedName>
    <definedName name="FJ" localSheetId="0" hidden="1">{#N/A,#N/A,FALSE,"OffAdvance";#N/A,#N/A,FALSE,"OffExpRprt";#N/A,#N/A,FALSE,"Travelling";#N/A,#N/A,FALSE,"Entertmnt";#N/A,#N/A,FALSE,"Promotion"}</definedName>
    <definedName name="FJ" hidden="1">{#N/A,#N/A,FALSE,"OffAdvance";#N/A,#N/A,FALSE,"OffExpRprt";#N/A,#N/A,FALSE,"Travelling";#N/A,#N/A,FALSE,"Entertmnt";#N/A,#N/A,FALSE,"Promotion"}</definedName>
    <definedName name="fjaeojfa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eo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oe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ao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dalöfjdsalköfdjsalö" localSheetId="0" hidden="1">{#N/A,#N/A,TRUE,"Cover sheet";#N/A,#N/A,TRUE,"INPUTS";#N/A,#N/A,TRUE,"OUTPUTS";#N/A,#N/A,TRUE,"VALUATION"}</definedName>
    <definedName name="fjdalöfjdsalköfdjsalö" hidden="1">{#N/A,#N/A,TRUE,"Cover sheet";#N/A,#N/A,TRUE,"INPUTS";#N/A,#N/A,TRUE,"OUTPUTS";#N/A,#N/A,TRUE,"VALUATION"}</definedName>
    <definedName name="fjdf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jdf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jf" localSheetId="0" hidden="1">{#N/A,#N/A,FALSE,"TAXC.INDEX";#N/A,#N/A,FALSE,"Schedule I";#N/A,#N/A,FALSE,"Schedule  II";#N/A,#N/A,FALSE,"Schedule III"}</definedName>
    <definedName name="fjf" hidden="1">{#N/A,#N/A,FALSE,"TAXC.INDEX";#N/A,#N/A,FALSE,"Schedule I";#N/A,#N/A,FALSE,"Schedule  II";#N/A,#N/A,FALSE,"Schedule III"}</definedName>
    <definedName name="fjhg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fjhg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fjk" localSheetId="0" hidden="1">{"JimZhang - Personal View",#N/A,FALSE,"800230"}</definedName>
    <definedName name="fjk" hidden="1">{"JimZhang - Personal View",#N/A,FALSE,"800230"}</definedName>
    <definedName name="fjl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o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js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lt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lt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m" localSheetId="0" hidden="1">{"summary1",#N/A,TRUE,"Comps";"summary2",#N/A,TRUE,"Comps";"summary3",#N/A,TRUE,"Comps"}</definedName>
    <definedName name="fm" hidden="1">{"summary1",#N/A,TRUE,"Comps";"summary2",#N/A,TRUE,"Comps";"summary3",#N/A,TRUE,"Comps"}</definedName>
    <definedName name="FMEMORS1" hidden="1">"ENCODE_"</definedName>
    <definedName name="FMEMORS2" hidden="1">"ENCODE_"</definedName>
    <definedName name="foethnl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ethn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otball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rney" localSheetId="0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ose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fose" hidden="1">{#N/A,#N/A,FALSE,"DIR-REP";#N/A,#N/A,FALSE,"AUD-REPORT";#N/A,#N/A,FALSE,"P7L&amp;BS";#N/A,#N/A,FALSE,"NOTES";#N/A,#N/A,FALSE,"FA";#N/A,#N/A,FALSE,"NOTES (2)";#N/A,#N/A,FALSE,"Schedule  IV";#N/A,#N/A,FALSE,"Schedule V"}</definedName>
    <definedName name="FPERIOD" hidden="1">10</definedName>
    <definedName name="FPERIOD_1" hidden="1">11</definedName>
    <definedName name="FPERIOD_2" hidden="1">2</definedName>
    <definedName name="fr" localSheetId="0" hidden="1">{"Data Worksheet",#N/A,FALSE,"CAREY97"}</definedName>
    <definedName name="fr" hidden="1">{"Data Worksheet",#N/A,FALSE,"CAREY97"}</definedName>
    <definedName name="Frank" localSheetId="0" hidden="1">{#N/A,#N/A,TRUE,"Cover sheet";#N/A,#N/A,TRUE,"DCF analysis";#N/A,#N/A,TRUE,"WACC calculation"}</definedName>
    <definedName name="Frank" hidden="1">{#N/A,#N/A,TRUE,"Cover sheet";#N/A,#N/A,TRUE,"DCF analysis";#N/A,#N/A,TRUE,"WACC calculation"}</definedName>
    <definedName name="freq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freqt" hidden="1">{#N/A,#N/A,FALSE,"DIR-REP";#N/A,#N/A,FALSE,"AUD-REPORT";#N/A,#N/A,FALSE,"P7L&amp;BS";#N/A,#N/A,FALSE,"NOTES";#N/A,#N/A,FALSE,"FA";#N/A,#N/A,FALSE,"NOTES (2)";#N/A,#N/A,FALSE,"Schedule  IV";#N/A,#N/A,FALSE,"Schedule V"}</definedName>
    <definedName name="fresfg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h" localSheetId="0" hidden="1">{#N/A,#N/A,FALSE,"Database"}</definedName>
    <definedName name="fresh" hidden="1">{#N/A,#N/A,FALSE,"Database"}</definedName>
    <definedName name="fresh1" localSheetId="0" hidden="1">{#N/A,#N/A,FALSE,"Database"}</definedName>
    <definedName name="fresh1" hidden="1">{#N/A,#N/A,FALSE,"Database"}</definedName>
    <definedName name="Fromageries" localSheetId="0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Fromageries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FRPTFRAMEWORKID" hidden="1">3</definedName>
    <definedName name="fsadf" localSheetId="0" hidden="1">{"en_tete",#N/A,FALSE,"Index";"vue",#N/A,FALSE,"P.-0";#N/A,#N/A,FALSE,"P.-1";#N/A,#N/A,FALSE,"P.- 2a";#N/A,#N/A,FALSE,"P.- 3";#N/A,#N/A,FALSE,"P.- 4";#N/A,#N/A,FALSE,"B.-4b";#N/A,#N/A,FALSE,"B.-8"}</definedName>
    <definedName name="fsadf" hidden="1">{"en_tete",#N/A,FALSE,"Index";"vue",#N/A,FALSE,"P.-0";#N/A,#N/A,FALSE,"P.-1";#N/A,#N/A,FALSE,"P.- 2a";#N/A,#N/A,FALSE,"P.- 3";#N/A,#N/A,FALSE,"P.- 4";#N/A,#N/A,FALSE,"B.-4b";#N/A,#N/A,FALSE,"B.-8"}</definedName>
    <definedName name="fsd" localSheetId="0" hidden="1">{#N/A,#N/A,FALSE,"Sheet1"}</definedName>
    <definedName name="fsd" hidden="1">{#N/A,#N/A,FALSE,"Sheet1"}</definedName>
    <definedName name="fsdaf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sda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sdf" localSheetId="0" hidden="1">{#N/A,#N/A,TRUE,"Cover sheet";#N/A,#N/A,TRUE,"DCF analysis";#N/A,#N/A,TRUE,"WACC calculation"}</definedName>
    <definedName name="fsdf" hidden="1">{#N/A,#N/A,TRUE,"Cover sheet";#N/A,#N/A,TRUE,"DCF analysis";#N/A,#N/A,TRUE,"WACC calculation"}</definedName>
    <definedName name="fsdsfafd" localSheetId="0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eo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e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UCK" localSheetId="0" hidden="1">{"IS Years",#N/A,FALSE,"C";"IS Q95",#N/A,FALSE,"C";"IS Q96",#N/A,FALSE,"C";"IS Q97",#N/A,FALSE,"C"}</definedName>
    <definedName name="fuc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face" localSheetId="0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elco_wrn.test1." localSheetId="0" hidden="1">{"Income Statement",#N/A,FALSE,"CFMODEL";"Balance Sheet",#N/A,FALSE,"CFMODEL"}</definedName>
    <definedName name="fuelco_wrn.test1." hidden="1">{"Income Statement",#N/A,FALSE,"CFMODEL";"Balance Sheet",#N/A,FALSE,"CFMODEL"}</definedName>
    <definedName name="fuelco_wrn.test2." localSheetId="0" hidden="1">{"SourcesUses",#N/A,TRUE,"CFMODEL";"TransOverview",#N/A,TRUE,"CFMODEL"}</definedName>
    <definedName name="fuelco_wrn.test2." hidden="1">{"SourcesUses",#N/A,TRUE,"CFMODEL";"TransOverview",#N/A,TRUE,"CFMODEL"}</definedName>
    <definedName name="fuelco_wrn.test3." localSheetId="0" hidden="1">{"SourcesUses",#N/A,TRUE,#N/A;"TransOverview",#N/A,TRUE,"CFMODEL"}</definedName>
    <definedName name="fuelco_wrn.test3." hidden="1">{"SourcesUses",#N/A,TRUE,#N/A;"TransOverview",#N/A,TRUE,"CFMODEL"}</definedName>
    <definedName name="fuelco_wrn.test4." localSheetId="0" hidden="1">{"SourcesUses",#N/A,TRUE,"FundsFlow";"TransOverview",#N/A,TRUE,"FundsFlow"}</definedName>
    <definedName name="fuelco_wrn.test4." hidden="1">{"SourcesUses",#N/A,TRUE,"FundsFlow";"TransOverview",#N/A,TRUE,"FundsFlow"}</definedName>
    <definedName name="fuffuy" localSheetId="0" hidden="1">{#N/A,#N/A,FALSE,"Cover";"outputs total",#N/A,FALSE,"Outputs"}</definedName>
    <definedName name="fuffuy" hidden="1">{#N/A,#N/A,FALSE,"Cover";"outputs total",#N/A,FALSE,"Outputs"}</definedName>
    <definedName name="fung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n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v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WEg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wefwef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fw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FYEAR" hidden="1">2006</definedName>
    <definedName name="FYEAR_1" hidden="1">2007</definedName>
    <definedName name="g.xls" localSheetId="0" hidden="1">{#N/A,#N/A,FALSE,"Marketing";#N/A,#N/A,FALSE,"Selling";#N/A,#N/A,FALSE,"Promotional";#N/A,#N/A,FALSE,"Advertising"}</definedName>
    <definedName name="g.xls" hidden="1">{#N/A,#N/A,FALSE,"Marketing";#N/A,#N/A,FALSE,"Selling";#N/A,#N/A,FALSE,"Promotional";#N/A,#N/A,FALSE,"Advertising"}</definedName>
    <definedName name="g3rg3wg23" localSheetId="0" hidden="1">{#N/A,#N/A,FALSE,"Virgin Flightdeck"}</definedName>
    <definedName name="g3rg3wg23" hidden="1">{#N/A,#N/A,FALSE,"Virgin Flightdeck"}</definedName>
    <definedName name="gaga" localSheetId="0" hidden="1">{#N/A,#N/A,TRUE,"Cover sheet";#N/A,#N/A,TRUE,"INPUTS";#N/A,#N/A,TRUE,"OUTPUTS";#N/A,#N/A,TRUE,"VALUATION"}</definedName>
    <definedName name="gaga" hidden="1">{#N/A,#N/A,TRUE,"Cover sheet";#N/A,#N/A,TRUE,"INPUTS";#N/A,#N/A,TRUE,"OUTPUTS";#N/A,#N/A,TRUE,"VALUATION"}</definedName>
    <definedName name="Garde2" localSheetId="0" hidden="1">{#N/A,#N/A,FALSE,"PAGE3";#N/A,#N/A,FALSE,"Pape4";#N/A,#N/A,FALSE,"Page5";#N/A,#N/A,FALSE,"PAGE6";#N/A,#N/A,FALSE,"Page7";#N/A,#N/A,FALSE,"Page8 971&amp;962";#N/A,#N/A,FALSE,"Page8 972&amp;971";#N/A,#N/A,FALSE,"Page9 971&amp;962";#N/A,#N/A,FALSE,"Page9 972&amp;972";#N/A,#N/A,FALSE,"PAGE10";#N/A,#N/A,FALSE,"Page11";#N/A,#N/A,FALSE,"page12";#N/A,#N/A,FALSE,"page13"}</definedName>
    <definedName name="Garde2" hidden="1">{#N/A,#N/A,FALSE,"PAGE3";#N/A,#N/A,FALSE,"Pape4";#N/A,#N/A,FALSE,"Page5";#N/A,#N/A,FALSE,"PAGE6";#N/A,#N/A,FALSE,"Page7";#N/A,#N/A,FALSE,"Page8 971&amp;962";#N/A,#N/A,FALSE,"Page8 972&amp;971";#N/A,#N/A,FALSE,"Page9 971&amp;962";#N/A,#N/A,FALSE,"Page9 972&amp;972";#N/A,#N/A,FALSE,"PAGE10";#N/A,#N/A,FALSE,"Page11";#N/A,#N/A,FALSE,"page12";#N/A,#N/A,FALSE,"page13"}</definedName>
    <definedName name="gay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b" localSheetId="0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b" hidden="1">{#N/A,#N/A,TRUE,"Cover sheet";#N/A,#N/A,TRUE,"INPUTS";#N/A,#N/A,TRUE,"OUTPUTS";#N/A,#N/A,TRUE,"VALUATION"}</definedName>
    <definedName name="gbfdhbd" localSheetId="0" hidden="1">{0,0,0,0}</definedName>
    <definedName name="gbfdhbd" hidden="1">{0,0,0,0}</definedName>
    <definedName name="gdff" localSheetId="0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f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gg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dgg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dgrtdg" localSheetId="0" hidden="1">{0,0,"",0}</definedName>
    <definedName name="gdgrtdg" hidden="1">{0,0,"",0}</definedName>
    <definedName name="gdsfg" localSheetId="0" hidden="1">{#N/A,#N/A,TRUE,"Cover sheet";#N/A,#N/A,TRUE,"INPUTS";#N/A,#N/A,TRUE,"OUTPUTS";#N/A,#N/A,TRUE,"VALUATION"}</definedName>
    <definedName name="gdsfg" hidden="1">{#N/A,#N/A,TRUE,"Cover sheet";#N/A,#N/A,TRUE,"INPUTS";#N/A,#N/A,TRUE,"OUTPUTS";#N/A,#N/A,TRUE,"VALUATION"}</definedName>
    <definedName name="ge" localSheetId="0" hidden="1">{"Results Worksheets",#N/A,FALSE,"RESULTS"}</definedName>
    <definedName name="ge" hidden="1">{"Results Worksheets",#N/A,FALSE,"RESULTS"}</definedName>
    <definedName name="GeelCapexFcst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rt" localSheetId="0" hidden="1">{"'Farming out'!$A$6:$C$100","'Farming out'!$F$1:$H$6"}</definedName>
    <definedName name="Geert" hidden="1">{"'Farming out'!$A$6:$C$100","'Farming out'!$F$1:$H$6"}</definedName>
    <definedName name="general" localSheetId="0" hidden="1">#REF!</definedName>
    <definedName name="general" hidden="1">#REF!</definedName>
    <definedName name="ger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dgw" localSheetId="0" hidden="1">{#N/A,#N/A,TRUE,"COVER";#N/A,#N/A,TRUE,"DIR";#N/A,#N/A,TRUE,"AUDIT"}</definedName>
    <definedName name="gerdgw" hidden="1">{#N/A,#N/A,TRUE,"COVER";#N/A,#N/A,TRUE,"DIR";#N/A,#N/A,TRUE,"AUDIT"}</definedName>
    <definedName name="geww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localSheetId="0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gf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gfbngfn" localSheetId="0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f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ff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fgfgfg" localSheetId="0" hidden="1">{#N/A,#N/A,FALSE,"OffAdvance";#N/A,#N/A,FALSE,"OffExpRprt";#N/A,#N/A,FALSE,"Entertmnt";#N/A,#N/A,FALSE,"Promotion";#N/A,#N/A,FALSE,"Travelling"}</definedName>
    <definedName name="gfgfgfg" hidden="1">{#N/A,#N/A,FALSE,"OffAdvance";#N/A,#N/A,FALSE,"OffExpRprt";#N/A,#N/A,FALSE,"Entertmnt";#N/A,#N/A,FALSE,"Promotion";#N/A,#N/A,FALSE,"Travelling"}</definedName>
    <definedName name="gfh" localSheetId="0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gfh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gfhl" localSheetId="0" hidden="1">{#N/A,#N/A,FALSE,"Summary";#N/A,#N/A,FALSE,"Month";#N/A,#N/A,FALSE,"YTD";#N/A,#N/A,FALSE,"Charts"}</definedName>
    <definedName name="gfhl" hidden="1">{#N/A,#N/A,FALSE,"Summary";#N/A,#N/A,FALSE,"Month";#N/A,#N/A,FALSE,"YTD";#N/A,#N/A,FALSE,"Charts"}</definedName>
    <definedName name="gfhs" localSheetId="0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localSheetId="0" hidden="1">{#N/A,#N/A,FALSE,"Total";#N/A,#N/A,FALSE,"4000";#N/A,#N/A,FALSE,"4001";#N/A,#N/A,FALSE,"4002";#N/A,#N/A,FALSE,"4003";#N/A,#N/A,FALSE,"4004";#N/A,#N/A,FALSE,"4007";#N/A,#N/A,FALSE,"4008";#N/A,#N/A,FALSE,"4010";#N/A,#N/A,FALSE,"4011";#N/A,#N/A,FALSE,"4012";#N/A,#N/A,FALSE,"4013"}</definedName>
    <definedName name="gg" hidden="1">{#N/A,#N/A,FALSE,"Total";#N/A,#N/A,FALSE,"4000";#N/A,#N/A,FALSE,"4001";#N/A,#N/A,FALSE,"4002";#N/A,#N/A,FALSE,"4003";#N/A,#N/A,FALSE,"4004";#N/A,#N/A,FALSE,"4007";#N/A,#N/A,FALSE,"4008";#N/A,#N/A,FALSE,"4010";#N/A,#N/A,FALSE,"4011";#N/A,#N/A,FALSE,"4012";#N/A,#N/A,FALSE,"4013"}</definedName>
    <definedName name="ggdg" hidden="1">#REF!</definedName>
    <definedName name="ggf" localSheetId="0" hidden="1">{"comps",#N/A,FALSE,"comps";"notes",#N/A,FALSE,"comps"}</definedName>
    <definedName name="ggf" hidden="1">{"comps",#N/A,FALSE,"comps";"notes",#N/A,FALSE,"comps"}</definedName>
    <definedName name="ggfgd" localSheetId="0" hidden="1">{"ProjectionsSheet",#N/A,FALSE,"Projections"}</definedName>
    <definedName name="ggfgd" hidden="1">{"ProjectionsSheet",#N/A,FALSE,"Projections"}</definedName>
    <definedName name="ggfgddv" localSheetId="0" hidden="1">{"ProjectionsSheet",#N/A,FALSE,"Projections"}</definedName>
    <definedName name="ggfgddv" hidden="1">{"ProjectionsSheet",#N/A,FALSE,"Projections"}</definedName>
    <definedName name="ggg" localSheetId="0" hidden="1">{#N/A,#N/A,FALSE,"²Ä1­Ó¤ë"}</definedName>
    <definedName name="ggg" hidden="1">{#N/A,#N/A,FALSE,"²Ä1­Ó¤ë"}</definedName>
    <definedName name="ggggg" localSheetId="0" hidden="1">{"budget992000_customers",#N/A,FALSE,"Celtel alternative 6"}</definedName>
    <definedName name="ggggg" hidden="1">{"budget992000_customers",#N/A,FALSE,"Celtel alternative 6"}</definedName>
    <definedName name="ggggggg" localSheetId="0" hidden="1">{"budget992000 profit and loss",#N/A,FALSE,"Celtel alternative 6"}</definedName>
    <definedName name="ggggggg" hidden="1">{"budget992000 profit and loss",#N/A,FALSE,"Celtel alternative 6"}</definedName>
    <definedName name="gggggggggggggg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gggg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h" localSheetId="0" hidden="1">{"FCB_ALL",#N/A,FALSE,"FCB";"GREY_ALL",#N/A,FALSE,"GREY"}</definedName>
    <definedName name="gh" hidden="1">{"FCB_ALL",#N/A,FALSE,"FCB";"GREY_ALL",#N/A,FALSE,"GREY"}</definedName>
    <definedName name="gha" localSheetId="0" hidden="1">{#N/A,#N/A,FALSE,"AOP Summary";#N/A,#N/A,FALSE,"E.C. Reports";#N/A,#N/A,FALSE,"SADA";#N/A,#N/A,FALSE,"SADA VARIANCE";#N/A,#N/A,FALSE,"Market Share";#N/A,#N/A,FALSE,"Fisher Data"}</definedName>
    <definedName name="gha" hidden="1">{#N/A,#N/A,FALSE,"AOP Summary";#N/A,#N/A,FALSE,"E.C. Reports";#N/A,#N/A,FALSE,"SADA";#N/A,#N/A,FALSE,"SADA VARIANCE";#N/A,#N/A,FALSE,"Market Share";#N/A,#N/A,FALSE,"Fisher Data"}</definedName>
    <definedName name="ghe" localSheetId="0" hidden="1">{"Headcount Worksheet",#N/A,FALSE,"HEADCOUNT"}</definedName>
    <definedName name="ghe" hidden="1">{"Headcount Worksheet",#N/A,FALSE,"HEADCOUNT"}</definedName>
    <definedName name="ghf" localSheetId="0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hghd" localSheetId="0" hidden="1">{"mgmt forecast",#N/A,FALSE,"Mgmt Forecast";"dcf table",#N/A,FALSE,"Mgmt Forecast";"sensitivity",#N/A,FALSE,"Mgmt Forecast";"table inputs",#N/A,FALSE,"Mgmt Forecast";"calculations",#N/A,FALSE,"Mgmt Forecast"}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localSheetId="0" hidden="1">{#N/A,#N/A,FALSE,"ORIX CSC"}</definedName>
    <definedName name="ghhhg" hidden="1">{#N/A,#N/A,FALSE,"ORIX CSC"}</definedName>
    <definedName name="ghi" localSheetId="0" hidden="1">{#N/A,#N/A,FALSE,"II-2 POP.HH";#N/A,#N/A,FALSE,"II-3 AGE.DIST";#N/A,#N/A,FALSE,"II-4 HH.DIST";#N/A,#N/A,FALSE,"II-5 EMP.INDUS"}</definedName>
    <definedName name="ghi" hidden="1">{#N/A,#N/A,FALSE,"II-2 POP.HH";#N/A,#N/A,FALSE,"II-3 AGE.DIST";#N/A,#N/A,FALSE,"II-4 HH.DIST";#N/A,#N/A,FALSE,"II-5 EMP.INDUS"}</definedName>
    <definedName name="ghjfg" localSheetId="0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ghjfg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ghjlou" localSheetId="0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ilb.wrn.test2." localSheetId="0" hidden="1">{"SourcesUses",#N/A,TRUE,"CFMODEL";"TransOverview",#N/A,TRUE,"CFMODEL"}</definedName>
    <definedName name="gilb.wrn.test2." hidden="1">{"SourcesUses",#N/A,TRUE,"CFMODEL";"TransOverview",#N/A,TRUE,"CFMODEL"}</definedName>
    <definedName name="gilb.wrn.test3." localSheetId="0" hidden="1">{"SourcesUses",#N/A,TRUE,#N/A;"TransOverview",#N/A,TRUE,"CFMODEL"}</definedName>
    <definedName name="gilb.wrn.test3." hidden="1">{"SourcesUses",#N/A,TRUE,#N/A;"TransOverview",#N/A,TRUE,"CFMODEL"}</definedName>
    <definedName name="gilb.wrn.test4." localSheetId="0" hidden="1">{"SourcesUses",#N/A,TRUE,"FundsFlow";"TransOverview",#N/A,TRUE,"FundsFlow"}</definedName>
    <definedName name="gilb.wrn.test4." hidden="1">{"SourcesUses",#N/A,TRUE,"FundsFlow";"TransOverview",#N/A,TRUE,"FundsFlow"}</definedName>
    <definedName name="gilb_wrn.test1" localSheetId="0" hidden="1">{"Income Statement",#N/A,FALSE,"CFMODEL";"Balance Sheet",#N/A,FALSE,"CFMODEL"}</definedName>
    <definedName name="gilb_wrn.test1" hidden="1">{"Income Statement",#N/A,FALSE,"CFMODEL";"Balance Sheet",#N/A,FALSE,"CFMODEL"}</definedName>
    <definedName name="gjaeofjfa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fjfa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j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eoj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" localSheetId="0" hidden="1">{#N/A,#N/A,TRUE,"COVER";#N/A,#N/A,TRUE,"DIR";#N/A,#N/A,TRUE,"AUDIT"}</definedName>
    <definedName name="gjafoe" hidden="1">{#N/A,#N/A,TRUE,"COVER";#N/A,#N/A,TRUE,"DIR";#N/A,#N/A,TRUE,"AUDIT"}</definedName>
    <definedName name="gjafoeaf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gjafoeaf" hidden="1">{#N/A,#N/A,FALSE,"DIR-REP";#N/A,#N/A,FALSE,"AUD-REPORT";#N/A,#N/A,FALSE,"P7L&amp;BS";#N/A,#N/A,FALSE,"NOTES";#N/A,#N/A,FALSE,"FA";#N/A,#N/A,FALSE,"NOTES (2)";#N/A,#N/A,FALSE,"Schedule  IV";#N/A,#N/A,FALSE,"Schedule V"}</definedName>
    <definedName name="gjafoejf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gjafoejf" hidden="1">{#N/A,#N/A,FALSE,"DIR-REP";#N/A,#N/A,FALSE,"AUD-REPORT";#N/A,#N/A,FALSE,"P7L&amp;BS";#N/A,#N/A,FALSE,"NOTES";#N/A,#N/A,FALSE,"FA";#N/A,#N/A,FALSE,"NOTES (2)";#N/A,#N/A,FALSE,"Schedule  IV";#N/A,#N/A,FALSE,"Schedule V"}</definedName>
    <definedName name="gjafoejfa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f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oejfa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aoejf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eo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gjeo" hidden="1">{#N/A,#N/A,FALSE,"DIR-REP";#N/A,#N/A,FALSE,"AUD-REPORT";#N/A,#N/A,FALSE,"P7L&amp;BS";#N/A,#N/A,FALSE,"NOTES";#N/A,#N/A,FALSE,"FA";#N/A,#N/A,FALSE,"NOTES (2)";#N/A,#N/A,FALSE,"Schedule  IV";#N/A,#N/A,FALSE,"Schedule V"}</definedName>
    <definedName name="gjos" localSheetId="0" hidden="1">{#N/A,#N/A,FALSE,"TAXC.INDEX";#N/A,#N/A,FALSE,"Schedule I";#N/A,#N/A,FALSE,"Schedule  II";#N/A,#N/A,FALSE,"Schedule III"}</definedName>
    <definedName name="gjos" hidden="1">{#N/A,#N/A,FALSE,"TAXC.INDEX";#N/A,#N/A,FALSE,"Schedule I";#N/A,#N/A,FALSE,"Schedule  II";#N/A,#N/A,FALSE,"Schedule III"}</definedName>
    <definedName name="GKUY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o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glot" hidden="1">{#N/A,#N/A,FALSE,"DIR-REP";#N/A,#N/A,FALSE,"AUD-REPORT";#N/A,#N/A,FALSE,"P7L&amp;BS";#N/A,#N/A,FALSE,"NOTES";#N/A,#N/A,FALSE,"FA";#N/A,#N/A,FALSE,"NOTES (2)";#N/A,#N/A,FALSE,"Schedule  IV";#N/A,#N/A,FALSE,"Schedule V"}</definedName>
    <definedName name="goeng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eng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go" localSheetId="0" hidden="1">{#N/A,#N/A,TRUE,"Cover sheet";#N/A,#N/A,TRUE,"INPUTS";#N/A,#N/A,TRUE,"OUTPUTS";#N/A,#N/A,TRUE,"VALUATION"}</definedName>
    <definedName name="gogo" hidden="1">{#N/A,#N/A,TRUE,"Cover sheet";#N/A,#N/A,TRUE,"INPUTS";#N/A,#N/A,TRUE,"OUTPUTS";#N/A,#N/A,TRUE,"VALUATION"}</definedName>
    <definedName name="gonzague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gonzague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gooch" localSheetId="0" hidden="1">{#N/A,#N/A,FALSE,"Projections";#N/A,#N/A,FALSE,"Multiples Valuation";#N/A,#N/A,FALSE,"LBO";#N/A,#N/A,FALSE,"Multiples_Sensitivity";#N/A,#N/A,FALSE,"Summary"}</definedName>
    <definedName name="gooch" hidden="1">{#N/A,#N/A,FALSE,"Projections";#N/A,#N/A,FALSE,"Multiples Valuation";#N/A,#N/A,FALSE,"LBO";#N/A,#N/A,FALSE,"Multiples_Sensitivity";#N/A,#N/A,FALSE,"Summary"}</definedName>
    <definedName name="goodbye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raph" localSheetId="0" hidden="1">{"monthly",#N/A,FALSE,"GASODEM";"qtr to yr",#N/A,FALSE,"GASODEM"}</definedName>
    <definedName name="graph" hidden="1">{"monthly",#N/A,FALSE,"GASODEM";"qtr to yr",#N/A,FALSE,"GASODEM"}</definedName>
    <definedName name="grdgdrgd" localSheetId="0" hidden="1">{0,0,"",0}</definedName>
    <definedName name="grdgdrgd" hidden="1">{0,0,"",0}</definedName>
    <definedName name="gre" localSheetId="0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owth" localSheetId="0" hidden="1">{#N/A,#N/A,FALSE,"COST";#N/A,#N/A,FALSE,"INCOME";#N/A,#N/A,FALSE,"INTEREST";#N/A,#N/A,FALSE,"TAX &amp; CAM"}</definedName>
    <definedName name="Growth" hidden="1">{#N/A,#N/A,FALSE,"COST";#N/A,#N/A,FALSE,"INCOME";#N/A,#N/A,FALSE,"INTEREST";#N/A,#N/A,FALSE,"TAX &amp; CAM"}</definedName>
    <definedName name="gt" localSheetId="0" hidden="1">{"Data Worksheet",#N/A,FALSE,"CAREY97"}</definedName>
    <definedName name="gt" hidden="1">{#N/A,#N/A,FALSE,"COVER";#N/A,#N/A,FALSE,"Index";#N/A,#N/A,FALSE,"Non-Earning";#N/A,#N/A,FALSE,"Commercial";#N/A,#N/A,FALSE,"Detailed"}</definedName>
    <definedName name="gvbg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gvbg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h.xls" localSheetId="0" hidden="1">{#N/A,#N/A,FALSE,"970301";#N/A,#N/A,FALSE,"970302";#N/A,#N/A,FALSE,"970303";#N/A,#N/A,FALSE,"970304";#N/A,#N/A,FALSE,"COM1";#N/A,#N/A,FALSE,"COM2"}</definedName>
    <definedName name="h.xls" hidden="1">{#N/A,#N/A,FALSE,"970301";#N/A,#N/A,FALSE,"970302";#N/A,#N/A,FALSE,"970303";#N/A,#N/A,FALSE,"970304";#N/A,#N/A,FALSE,"COM1";#N/A,#N/A,FALSE,"COM2"}</definedName>
    <definedName name="Ha" localSheetId="0" hidden="1">{#N/A,#N/A,FALSE,"COST";#N/A,#N/A,FALSE,"INCOME";#N/A,#N/A,FALSE,"INTEREST";#N/A,#N/A,FALSE,"LAND SALE"}</definedName>
    <definedName name="Ha" hidden="1">{#N/A,#N/A,FALSE,"COST";#N/A,#N/A,FALSE,"INCOME";#N/A,#N/A,FALSE,"INTEREST";#N/A,#N/A,FALSE,"LAND SALE"}</definedName>
    <definedName name="haha" localSheetId="0" hidden="1">{#N/A,#N/A,FALSE,"负债表"}</definedName>
    <definedName name="haha" hidden="1">{#N/A,#N/A,FALSE,"负债表"}</definedName>
    <definedName name="haopy" localSheetId="0" hidden="1">{"Headcount Worksheet",#N/A,FALSE,"HEADCOUNT"}</definedName>
    <definedName name="haopy" hidden="1">{"Headcount Worksheet",#N/A,FALSE,"HEADCOUNT"}</definedName>
    <definedName name="harlow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s" localSheetId="0" hidden="1">{#N/A,#N/A,FALSE,"Summary";#N/A,#N/A,FALSE,"Month";#N/A,#N/A,FALSE,"YTD";#N/A,#N/A,FALSE,"Charts"}</definedName>
    <definedName name="has" hidden="1">{#N/A,#N/A,FALSE,"Summary";#N/A,#N/A,FALSE,"Month";#N/A,#N/A,FALSE,"YTD";#N/A,#N/A,FALSE,"Charts"}</definedName>
    <definedName name="hay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bkg" localSheetId="0" hidden="1">{#N/A,#N/A,FALSE,"COVER";#N/A,#N/A,FALSE,"Index";#N/A,#N/A,FALSE,"Non-Earning";#N/A,#N/A,FALSE,"Non-Earning-Recovery";#N/A,#N/A,FALSE,"Leasing_Equipo";#N/A,#N/A,FALSE,"Leasing_Auto";#N/A,#N/A,FALSE,"Leasing_Legal"}</definedName>
    <definedName name="hbkg" hidden="1">{#N/A,#N/A,FALSE,"COVER";#N/A,#N/A,FALSE,"Index";#N/A,#N/A,FALSE,"Non-Earning";#N/A,#N/A,FALSE,"Non-Earning-Recovery";#N/A,#N/A,FALSE,"Leasing_Equipo";#N/A,#N/A,FALSE,"Leasing_Auto";#N/A,#N/A,FALSE,"Leasing_Legal"}</definedName>
    <definedName name="hcdk" hidden="1">#REF!</definedName>
    <definedName name="hchbcb" localSheetId="0" hidden="1">{0,0,0,0}</definedName>
    <definedName name="hchbcb" hidden="1">{0,0,0,0}</definedName>
    <definedName name="HD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jn" hidden="1">#REF!</definedName>
    <definedName name="hdtfd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hdtfd" hidden="1">{#N/A,#N/A,FALSE,"DIR-REP";#N/A,#N/A,FALSE,"AUD-REPORT";#N/A,#N/A,FALSE,"P7L&amp;BS";#N/A,#N/A,FALSE,"NOTES";#N/A,#N/A,FALSE,"FA";#N/A,#N/A,FALSE,"NOTES (2)";#N/A,#N/A,FALSE,"Schedule  IV";#N/A,#N/A,FALSE,"Schedule V"}</definedName>
    <definedName name="head" localSheetId="0" hidden="1">{"Data Worksheet",#N/A,FALSE,"CAREY97"}</definedName>
    <definedName name="Header1" hidden="1">IFERROR(IF(COUNTA(#REF!)=0,0,INDEX(#REF!,MATCH(ROW(#REF!),#REF!,TRUE)))+1,1)</definedName>
    <definedName name="HEI" localSheetId="0" hidden="1">{"AQUIRORDCF",#N/A,FALSE,"Merger consequences";"Acquirorassns",#N/A,FALSE,"Merger consequences"}</definedName>
    <definedName name="HEI" hidden="1">{"AQUIRORDCF",#N/A,FALSE,"Merger consequences";"Acquirorassns",#N/A,FALSE,"Merger consequences"}</definedName>
    <definedName name="hell" localSheetId="0" hidden="1">{"Area1",#N/A,FALSE,"OREWACC";"Area2",#N/A,FALSE,"OREWACC"}</definedName>
    <definedName name="hell" hidden="1">{"Area1",#N/A,FALSE,"OREWACC";"Area2",#N/A,FALSE,"OREWACC"}</definedName>
    <definedName name="helleon" localSheetId="0" hidden="1">{"Area1",#N/A,FALSE,"OREWACC";"Area2",#N/A,FALSE,"OREWACC"}</definedName>
    <definedName name="helleon" hidden="1">{"Area1",#N/A,FALSE,"OREWACC";"Area2",#N/A,FALSE,"OREWACC"}</definedName>
    <definedName name="Hello" localSheetId="0" hidden="1">{"Area1",#N/A,FALSE,"OREWACC";"Area2",#N/A,FALSE,"OREWACC"}</definedName>
    <definedName name="hello1" localSheetId="0" hidden="1">{"Area1",#N/A,FALSE,"OREWACC";"Area2",#N/A,FALSE,"OREWACC"}</definedName>
    <definedName name="hello1" hidden="1">{"Area1",#N/A,FALSE,"OREWACC";"Area2",#N/A,FALSE,"OREWACC"}</definedName>
    <definedName name="hello2" localSheetId="0" hidden="1">{"Area1",#N/A,FALSE,"OREWACC";"Area2",#N/A,FALSE,"OREWACC"}</definedName>
    <definedName name="hello2" hidden="1">{"Area1",#N/A,FALSE,"OREWACC";"Area2",#N/A,FALSE,"OREWACC"}</definedName>
    <definedName name="Help" localSheetId="0" hidden="1">{#N/A,#N/A,FALSE,"Barranca"}</definedName>
    <definedName name="Help" hidden="1">{#N/A,#N/A,FALSE,"Barranca"}</definedName>
    <definedName name="help1" localSheetId="0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localSheetId="0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nry" localSheetId="0" hidden="1">{#N/A,#N/A,FALSE,"Ocean";#N/A,#N/A,FALSE,"NewYork";#N/A,#N/A,FALSE,"Gateway";#N/A,#N/A,FALSE,"GVH";#N/A,#N/A,FALSE,"GVM";#N/A,#N/A,FALSE,"GVT"}</definedName>
    <definedName name="henry" hidden="1">{#N/A,#N/A,FALSE,"Ocean";#N/A,#N/A,FALSE,"NewYork";#N/A,#N/A,FALSE,"Gateway";#N/A,#N/A,FALSE,"GVH";#N/A,#N/A,FALSE,"GVM";#N/A,#N/A,FALSE,"GVT"}</definedName>
    <definedName name="here" localSheetId="0" hidden="1">{"Headcount Worksheet",#N/A,FALSE,"HEADCOUNT"}</definedName>
    <definedName name="here" hidden="1">{"Headcount Worksheet",#N/A,FALSE,"HEADCOUNT"}</definedName>
    <definedName name="hfdsshg" hidden="1">#REF!</definedName>
    <definedName name="hgdf" localSheetId="0" hidden="1">{#N/A,#N/A,FALSE,"II-2 POP.HH";#N/A,#N/A,FALSE,"II-3 AGE.DIST";#N/A,#N/A,FALSE,"II-4 HH.DIST";#N/A,#N/A,FALSE,"II-5 EMP.INDUS"}</definedName>
    <definedName name="hgdf" hidden="1">{#N/A,#N/A,FALSE,"II-2 POP.HH";#N/A,#N/A,FALSE,"II-3 AGE.DIST";#N/A,#N/A,FALSE,"II-4 HH.DIST";#N/A,#N/A,FALSE,"II-5 EMP.INDUS"}</definedName>
    <definedName name="hghfdbn" localSheetId="0" hidden="1">{0,0,0,0}</definedName>
    <definedName name="hghfdbn" hidden="1">{0,0,0,0}</definedName>
    <definedName name="hghhg" localSheetId="0" hidden="1">{#N/A,#N/A,FALSE,"Sheet1"}</definedName>
    <definedName name="hghhg" hidden="1">{#N/A,#N/A,FALSE,"Sheet1"}</definedName>
    <definedName name="hgjg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rth" localSheetId="0" hidden="1">{"orixcsc",#N/A,FALSE,"ORIX CSC";"orixcsc2",#N/A,FALSE,"ORIX CSC"}</definedName>
    <definedName name="hgrth" hidden="1">{"orixcsc",#N/A,FALSE,"ORIX CSC";"orixcsc2",#N/A,FALSE,"ORIX CSC"}</definedName>
    <definedName name="hgyt" hidden="1">#REF!</definedName>
    <definedName name="hh" localSheetId="0" hidden="1">{#N/A,#N/A,FALSE,"earnings"}</definedName>
    <definedName name="hh" hidden="1">{#N/A,#N/A,FALSE,"UNIT";#N/A,#N/A,FALSE,"UNIT";#N/A,#N/A,FALSE,"계정"}</definedName>
    <definedName name="hhh" localSheetId="0" hidden="1">{#N/A,#N/A,FALSE,"FREEMAN";#N/A,#N/A,FALSE,"STEPHEN";#N/A,#N/A,FALSE,"VICTOR"}</definedName>
    <definedName name="hhh" hidden="1">{#N/A,#N/A,FALSE,"FREEMAN";#N/A,#N/A,FALSE,"STEPHEN";#N/A,#N/A,FALSE,"VICTOR"}</definedName>
    <definedName name="hhhe" localSheetId="0" hidden="1">{"'TYPE (2)'!$A$1:$Q$76"}</definedName>
    <definedName name="hhhe" hidden="1">{"'TYPE (2)'!$A$1:$Q$76"}</definedName>
    <definedName name="hhhh" localSheetId="0" hidden="1">{#N/A,#N/A,FALSE,"BS";#N/A,#N/A,FALSE,"PL";#N/A,#N/A,FALSE,"처분";#N/A,#N/A,FALSE,"현금";#N/A,#N/A,FALSE,"매출";#N/A,#N/A,FALSE,"원가";#N/A,#N/A,FALSE,"경영"}</definedName>
    <definedName name="hhhh" hidden="1">{#N/A,#N/A,FALSE,"BS";#N/A,#N/A,FALSE,"PL";#N/A,#N/A,FALSE,"처분";#N/A,#N/A,FALSE,"현금";#N/A,#N/A,FALSE,"매출";#N/A,#N/A,FALSE,"원가";#N/A,#N/A,FALSE,"경영"}</definedName>
    <definedName name="hhhsdf" localSheetId="0" hidden="1">{"up stand alones",#N/A,FALSE,"Acquiror"}</definedName>
    <definedName name="hhhsdf" hidden="1">{"up stand alones",#N/A,FALSE,"Acquiror"}</definedName>
    <definedName name="hhu" localSheetId="0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ii" localSheetId="0" hidden="1">{"MonthlyRentRoll",#N/A,FALSE,"RentRoll"}</definedName>
    <definedName name="hii" hidden="1">{"MonthlyRentRoll",#N/A,FALSE,"RentRoll"}</definedName>
    <definedName name="HIST" localSheetId="0" hidden="1">{#N/A,#N/A,FALSE,"CONFIGURATION";#N/A,#N/A,FALSE,"COLORS";#N/A,#N/A,FALSE,"CALC TOOLS-PARTS";"ALL",#N/A,FALSE,"PARTS LIST"}</definedName>
    <definedName name="HIST" hidden="1">{#N/A,#N/A,FALSE,"CONFIGURATION";#N/A,#N/A,FALSE,"COLORS";#N/A,#N/A,FALSE,"CALC TOOLS-PARTS";"ALL",#N/A,FALSE,"PARTS LIST"}</definedName>
    <definedName name="hitech" hidden="1">#REF!</definedName>
    <definedName name="hjf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gjg" localSheetId="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hjgjg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hjgjty" hidden="1">#REF!</definedName>
    <definedName name="hjhjj" localSheetId="0" hidden="1">{#N/A,#N/A,FALSE,"ORIX CSC"}</definedName>
    <definedName name="hjhjj" hidden="1">{#N/A,#N/A,FALSE,"ORIX CSC"}</definedName>
    <definedName name="hjkfhk" localSheetId="0" hidden="1">{"'四月'!$A$1:$L$12"}</definedName>
    <definedName name="hjkfhk" hidden="1">{"'四月'!$A$1:$L$12"}</definedName>
    <definedName name="hjkh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hjk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kjj" localSheetId="0" hidden="1">{"Line Efficiency",#N/A,FALSE,"Benchmarking"}</definedName>
    <definedName name="hkjj" hidden="1">{"Line Efficiency",#N/A,FALSE,"Benchmarking"}</definedName>
    <definedName name="HKKOUIM" localSheetId="0" hidden="1">{"JimZhang - Personal View",#N/A,FALSE,"800230"}</definedName>
    <definedName name="HKKOUIM" hidden="1">{"JimZhang - Personal View",#N/A,FALSE,"800230"}</definedName>
    <definedName name="HL_Err_Chk_2" hidden="1">#REF!</definedName>
    <definedName name="HL_Err_Chk_3" hidden="1">#REF!</definedName>
    <definedName name="HL_Err_Chk_4" hidden="1">#REF!</definedName>
    <definedName name="HL_Err_Chk_5" hidden="1">#REF!</definedName>
    <definedName name="hlk" localSheetId="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hlk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ngfnfj" hidden="1">#REF!</definedName>
    <definedName name="hod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FE" localSheetId="0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uy" localSheetId="0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r" localSheetId="0" hidden="1">{"Data Worksheet",#N/A,FALSE,"CAREY97"}</definedName>
    <definedName name="hr" hidden="1">{"Data Worksheet",#N/A,FALSE,"CAREY97"}</definedName>
    <definedName name="hrt" localSheetId="0" hidden="1">{"en_tete",#N/A,FALSE,"Index";"vue",#N/A,FALSE,"P.-0";#N/A,#N/A,FALSE,"P.-1";#N/A,#N/A,FALSE,"P.- 2a";#N/A,#N/A,FALSE,"P.- 3";#N/A,#N/A,FALSE,"P.- 4";#N/A,#N/A,FALSE,"B.-4b";#N/A,#N/A,FALSE,"B.-8"}</definedName>
    <definedName name="hrt" hidden="1">{"en_tete",#N/A,FALSE,"Index";"vue",#N/A,FALSE,"P.-0";#N/A,#N/A,FALSE,"P.-1";#N/A,#N/A,FALSE,"P.- 2a";#N/A,#N/A,FALSE,"P.- 3";#N/A,#N/A,FALSE,"P.- 4";#N/A,#N/A,FALSE,"B.-4b";#N/A,#N/A,FALSE,"B.-8"}</definedName>
    <definedName name="htfh" localSheetId="0" hidden="1">{0,0,0,0}</definedName>
    <definedName name="htfh" hidden="1">{0,0,0,0}</definedName>
    <definedName name="htfhfth" localSheetId="0" hidden="1">{0,0,"",0}</definedName>
    <definedName name="htfhfth" hidden="1">{0,0,"",0}</definedName>
    <definedName name="HTH" hidden="1">#REF!</definedName>
    <definedName name="html_client" localSheetId="0" hidden="1">{"'PROFILS'!$A$2:$E$3"}</definedName>
    <definedName name="html_client" hidden="1">{"'PROFILS'!$A$2:$E$3"}</definedName>
    <definedName name="HTML_CodePage" hidden="1">1252</definedName>
    <definedName name="HTML_Control" localSheetId="0" hidden="1">{"'Sheet1'!$A$1:$H$145"}</definedName>
    <definedName name="HTML_Control" hidden="1">{"'Sheet1'!$A$1:$H$145"}</definedName>
    <definedName name="HTML_Control_1" localSheetId="0" hidden="1">{"'TYPE (2)'!$A$1:$Q$76"}</definedName>
    <definedName name="HTML_Control_1" hidden="1">{"'TYPE (2)'!$A$1:$Q$76"}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localSheetId="0" hidden="1">TRUE</definedName>
    <definedName name="HTML_LineAfter" hidden="1">FALSE</definedName>
    <definedName name="HTML_LineBefore" localSheetId="0" hidden="1">TRUE</definedName>
    <definedName name="HTML_LineBefore" hidden="1">FALSE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localSheetId="0" hidden="1">1</definedName>
    <definedName name="HTML_OS" hidden="1">0</definedName>
    <definedName name="HTML_PathFile" hidden="1">"C:\My Documents\TPS project\Carried Loss\SCC2.htm"</definedName>
    <definedName name="HTML_PathFileMac" hidden="1">"Macintosh HD:HomePageStuff:New_Home_Page:datafile:ctryprem.html"</definedName>
    <definedName name="HTML_PathTemplate" hidden="1">"\\Der2\vol1\DATABANK\DOWNLOAD\HEAD6-1.HTM"</definedName>
    <definedName name="HTML_Title" hidden="1">"Country Risk Premiums"</definedName>
    <definedName name="HTML1_1" localSheetId="0" hidden="1">"'[TSOP Laser Marker Setup.xls]Time Frame'!$A$1:$AW$44"</definedName>
    <definedName name="HTML1_1" hidden="1">"'[Financials V2.01 Sub Sales Excite 4.xls]Income Statement'!$B$1:$AA$38"</definedName>
    <definedName name="HTML1_10" localSheetId="0" hidden="1">""</definedName>
    <definedName name="HTML1_10" hidden="1">"french.roberts@epamail.epa.gov"</definedName>
    <definedName name="HTML1_11" hidden="1">1</definedName>
    <definedName name="HTML1_12" localSheetId="0" hidden="1">"d:\MyHTML.htm"</definedName>
    <definedName name="HTML1_12" hidden="1">"Zip 100:New_Home_Page:datafile:implpr.html"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localSheetId="0" hidden="1">"TSOP Laser Marker Setup"</definedName>
    <definedName name="HTML1_3" hidden="1">"Federal and California Tailpipe Emission Standards"</definedName>
    <definedName name="HTML1_4" localSheetId="0" hidden="1">"Time Frame"</definedName>
    <definedName name="HTML1_4" hidden="1">"Emission Standards"</definedName>
    <definedName name="HTML1_5" hidden="1">""</definedName>
    <definedName name="HTML1_6" localSheetId="0" hidden="1">1</definedName>
    <definedName name="HTML1_6" hidden="1">-4146</definedName>
    <definedName name="HTML1_7" hidden="1">-4146</definedName>
    <definedName name="HTML1_8" localSheetId="0" hidden="1">"6/27/97"</definedName>
    <definedName name="HTML1_8" hidden="1">"2/10/97"</definedName>
    <definedName name="HTML1_9" localSheetId="0" hidden="1">"test"</definedName>
    <definedName name="HTML1_9" hidden="1">"Roberts French"</definedName>
    <definedName name="HTML2_1" hidden="1">"'[Financials V2.01 Sub Sales Excite 4.xls]Income Statement'!$B$10:$AA$38"</definedName>
    <definedName name="HTML2_10" hidden="1">""</definedName>
    <definedName name="HTML2_11" hidden="1">-4146</definedName>
    <definedName name="HTML2_12" hidden="1">"C:\WEB\MyHTML.htm"</definedName>
    <definedName name="HTML2_13" hidden="1">#N/A</definedName>
    <definedName name="HTML2_14" hidden="1">#N/A</definedName>
    <definedName name="HTML2_15" hidden="1">#N/A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
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"[poolprices.xls]Sheet1!$A$3:$F$17"</definedName>
    <definedName name="HTML3_10" hidden="1">""</definedName>
    <definedName name="HTML3_11" hidden="1">1</definedName>
    <definedName name="HTML3_12" hidden="1">"C:\Web\MyHTML.htm"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"'[$Isrs609.xls]Sheet2'!$A$1:$D$62"</definedName>
    <definedName name="HTML4_10" hidden="1">""</definedName>
    <definedName name="HTML4_11" hidden="1">1</definedName>
    <definedName name="HTML4_12" hidden="1">"C:\Web\MyHTML.htm"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"'[$Isrs609.xls]Sheet2'!$A$1:$D$66"</definedName>
    <definedName name="HTML5_10" hidden="1">""</definedName>
    <definedName name="HTML5_11" hidden="1">1</definedName>
    <definedName name="HTML5_12" hidden="1">"C:\Web\MyHTML.htm"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"'[$Isrs609.xls]Sheet2'!$A$1:$D$65"</definedName>
    <definedName name="HTML6_10" hidden="1">""</definedName>
    <definedName name="HTML6_11" hidden="1">1</definedName>
    <definedName name="HTML6_12" hidden="1">"C:\Web\MyHTML.htm"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0" hidden="1">""</definedName>
    <definedName name="HTML7_11" hidden="1">1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localSheetId="0" hidden="1">1</definedName>
    <definedName name="HTMLCount" hidden="1">7</definedName>
    <definedName name="huh" localSheetId="0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h" hidden="1">{"'Standalone List Price Trends'!$A$1:$X$56"}</definedName>
    <definedName name="huno" localSheetId="0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huno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huy" localSheetId="0" hidden="1">{"'Sheet1'!$L$16"}</definedName>
    <definedName name="huy" hidden="1">{"'Sheet1'!$L$16"}</definedName>
    <definedName name="hvuvv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vuv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yjtyujt" hidden="1">#REF!</definedName>
    <definedName name="Hyundai" localSheetId="0" hidden="1">{#N/A,#N/A,TRUE,"Cover sheet";#N/A,#N/A,TRUE,"INPUTS";#N/A,#N/A,TRUE,"OUTPUTS";#N/A,#N/A,TRUE,"VALUATION"}</definedName>
    <definedName name="Hyundai" hidden="1">{#N/A,#N/A,TRUE,"Cover sheet";#N/A,#N/A,TRUE,"INPUTS";#N/A,#N/A,TRUE,"OUTPUTS";#N/A,#N/A,TRUE,"VALUATION"}</definedName>
    <definedName name="i.xls" localSheetId="0" hidden="1">{#N/A,#N/A,FALSE,"970301";#N/A,#N/A,FALSE,"970302";#N/A,#N/A,FALSE,"970303";#N/A,#N/A,FALSE,"970304";#N/A,#N/A,FALSE,"COM1";#N/A,#N/A,FALSE,"COM2"}</definedName>
    <definedName name="i.xls" hidden="1">{#N/A,#N/A,FALSE,"970301";#N/A,#N/A,FALSE,"970302";#N/A,#N/A,FALSE,"970303";#N/A,#N/A,FALSE,"970304";#N/A,#N/A,FALSE,"COM1";#N/A,#N/A,FALSE,"COM2"}</definedName>
    <definedName name="I060k" hidden="1">#REF!</definedName>
    <definedName name="iay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iay" hidden="1">{#N/A,#N/A,FALSE,"DIR-REP";#N/A,#N/A,FALSE,"AUD-REPORT";#N/A,#N/A,FALSE,"P7L&amp;BS";#N/A,#N/A,FALSE,"NOTES";#N/A,#N/A,FALSE,"FA";#N/A,#N/A,FALSE,"NOTES (2)";#N/A,#N/A,FALSE,"Schedule  IV";#N/A,#N/A,FALSE,"Schedule V"}</definedName>
    <definedName name="idsa" hidden="1">#REF!</definedName>
    <definedName name="IIII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IIII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IIIII" localSheetId="0" hidden="1">{"en_tete",#N/A,FALSE,"Index";"vue",#N/A,FALSE,"P.-0";#N/A,#N/A,FALSE,"P.-1";#N/A,#N/A,FALSE,"P.- 2a";#N/A,#N/A,FALSE,"P.- 3";#N/A,#N/A,FALSE,"P.- 4";#N/A,#N/A,FALSE,"B.-4b";#N/A,#N/A,FALSE,"B.-8"}</definedName>
    <definedName name="IIIII" hidden="1">{"en_tete",#N/A,FALSE,"Index";"vue",#N/A,FALSE,"P.-0";#N/A,#N/A,FALSE,"P.-1";#N/A,#N/A,FALSE,"P.- 2a";#N/A,#N/A,FALSE,"P.- 3";#N/A,#N/A,FALSE,"P.- 4";#N/A,#N/A,FALSE,"B.-4b";#N/A,#N/A,FALSE,"B.-8"}</definedName>
    <definedName name="iiiiiiiiiiiiiiii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T" localSheetId="0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IIT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ijk" localSheetId="0" hidden="1">{#N/A,#N/A,FALSE,"Summary";#N/A,#N/A,FALSE,"Month";#N/A,#N/A,FALSE,"YTD";#N/A,#N/A,FALSE,"Charts"}</definedName>
    <definedName name="ijk" hidden="1">{#N/A,#N/A,FALSE,"Summary";#N/A,#N/A,FALSE,"Month";#N/A,#N/A,FALSE,"YTD";#N/A,#N/A,FALSE,"Charts"}</definedName>
    <definedName name="ik" localSheetId="0" hidden="1">{"Results Worksheets",#N/A,FALSE,"RESULTS"}</definedName>
    <definedName name="ik" hidden="1">{"Results Worksheets",#N/A,FALSE,"RESULTS"}</definedName>
    <definedName name="iko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k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mpairmen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mpairmen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ndicat.bis" localSheetId="0" hidden="1">{"'PROFILS'!$A$2:$E$3"}</definedName>
    <definedName name="Indicat.bis" hidden="1">{"'PROFILS'!$A$2:$E$3"}</definedName>
    <definedName name="Industrialmetric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g" localSheetId="0" hidden="1">{#N/A,#N/A,FALSE,"AOP Summary";#N/A,#N/A,FALSE,"E.C. Reports";#N/A,#N/A,FALSE,"SADA";#N/A,#N/A,FALSE,"SADA VARIANCE";#N/A,#N/A,FALSE,"Market Share";#N/A,#N/A,FALSE,"Fisher Data"}</definedName>
    <definedName name="ing" hidden="1">{#N/A,#N/A,FALSE,"AOP Summary";#N/A,#N/A,FALSE,"E.C. Reports";#N/A,#N/A,FALSE,"SADA";#N/A,#N/A,FALSE,"SADA VARIANCE";#N/A,#N/A,FALSE,"Market Share";#N/A,#N/A,FALSE,"Fisher Data"}</definedName>
    <definedName name="inicat.client" localSheetId="0" hidden="1">{"'PROFILS'!$A$2:$E$3"}</definedName>
    <definedName name="inicat.client" hidden="1">{"'PROFILS'!$A$2:$E$3"}</definedName>
    <definedName name="Interest" localSheetId="0" hidden="1">{#N/A,#N/A,FALSE,"Aging Summary";#N/A,#N/A,FALSE,"Ratio Analysis";#N/A,#N/A,FALSE,"Test 120 Day Accts";#N/A,#N/A,FALSE,"Tickmarks"}</definedName>
    <definedName name="IntroPrintArea" hidden="1">#REF!</definedName>
    <definedName name="io" localSheetId="0" hidden="1">{#N/A,#N/A,FALSE,"FAB VENDORS";"BUD SUM",#N/A,FALSE,"BUD SUM WO TEX"}</definedName>
    <definedName name="io" hidden="1">{#N/A,#N/A,FALSE,"FAB VENDORS";"BUD SUM",#N/A,FALSE,"BUD SUM WO TEX"}</definedName>
    <definedName name="ipou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o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RD_mites" localSheetId="0" hidden="1">{"bs",#N/A,FALSE,"SCF"}</definedName>
    <definedName name="IPRD_mites" hidden="1">{"bs",#N/A,FALSE,"SCF"}</definedName>
    <definedName name="IPRD_Pollen" localSheetId="0" hidden="1">{"bs",#N/A,FALSE,"SCF"}</definedName>
    <definedName name="IPRD_Pollen" hidden="1">{"bs",#N/A,FALSE,"SCF"}</definedName>
    <definedName name="IQ_1_4_CONSTRUCTION_LOANS_DUE_90_FFIE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EST_REV_DATE_TIME_REUT" hidden="1">"c28541"</definedName>
    <definedName name="IQ_CASH_OPER_EST_REVISIONS_REUT" hidden="1">"c28502"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_DEBT" hidden="1">"c224"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REV_DATE_TIME_REUT" hidden="1">"c28568"</definedName>
    <definedName name="IQ_DA_REVISIONS_REUT" hidden="1">"c28529"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_CASH_SHARE_TRUSTS_EST_REV_DATE_TIME_REUT" hidden="1">"c28552"</definedName>
    <definedName name="IQ_DISTRIB_CASH_SHARE_TRUSTS_EST_REVISIONS_REUT" hidden="1">"c28513"</definedName>
    <definedName name="IQ_DISTRIB_CASH_TRUSTS_EST_REV_DATE_TIME_REUT" hidden="1">"c28551"</definedName>
    <definedName name="IQ_DISTRIB_CASH_TRUSTS_EST_REVISIONS_REUT" hidden="1">"c28512"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GROWTH_1" hidden="1">"IQ_EBIT_GROWTH_1"</definedName>
    <definedName name="IQ_EBIT_GROWTH_2" hidden="1">"IQ_EBIT_GROWTH_2"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O_EST" hidden="1">"c267"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ECTIVE_TAX_REV_DATE_TIME_REUT" hidden="1">"c28566"</definedName>
    <definedName name="IQ_EFFECTIVE_TAX_REVISIONS_REUT" hidden="1">"c28527"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1" hidden="1">"IQ_EPS_EST_1"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CF_REV_DATE_TIME_REUT" hidden="1">"c28571"</definedName>
    <definedName name="IQ_FCF_REVISIONS_REUT" hidden="1">"c28532"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ES_OTHER_INCOME" hidden="1">"c15257"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"c3668"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LOW_EST_CIQ" hidden="1">"c3671"</definedName>
    <definedName name="IQ_FFO_LOW_EST_REUT" hidden="1">"c3840"</definedName>
    <definedName name="IQ_FFO_LOW_EST_THOM" hidden="1">"c4002"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_CIQ" hidden="1">"c3672"</definedName>
    <definedName name="IQ_FFO_NUM_EST_REUT" hidden="1">"c3841"</definedName>
    <definedName name="IQ_FFO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REE_OPERATING_CASH_FLOW_DEBT_CSD" hidden="1">"c27718"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REV_DATE_TIME_REUT" hidden="1">"c28563"</definedName>
    <definedName name="IQ_GROSS_MARGIN_REVISIONS_REUT" hidden="1">"c28524"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_NAV_REV_DATE_TIME_REUT" hidden="1">"c28570"</definedName>
    <definedName name="IQ_INDUSTRY_NAV_REVISIONS_REUT" hidden="1">"c28531"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GIBLES_NET" hidden="1">"c1407"</definedName>
    <definedName name="IQ_INTEL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REV_DATE_TIME_REUT" hidden="1">"c28567"</definedName>
    <definedName name="IQ_INTEREST_EXP_REVISIONS_REUT" hidden="1">"c28528"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EST_REV_DATE_TIME_REUT" hidden="1">"c28556"</definedName>
    <definedName name="IQ_MAINT_CAPEX_EST_REVISIONS_REUT" hidden="1">"c28517"</definedName>
    <definedName name="IQ_MAINT_REPAIR" hidden="1">"c2087"</definedName>
    <definedName name="IQ_MARKETCAP" hidden="1">"c712"</definedName>
    <definedName name="IQ_MARKTCAP" hidden="1">"c258"</definedName>
    <definedName name="IQ_MATURITY_ONE_YEAR_LESS_FDIC" hidden="1">"c6425"</definedName>
    <definedName name="IQ_MBS_QUARTERLY_AVG_FFIEC" hidden="1">"c15471"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_REVISION_DATE_" localSheetId="0" hidden="1">45706.2587962963</definedName>
    <definedName name="IQ_NAMES_REVISION_DATE_" hidden="1">"01/01/0001 00:00:00"</definedName>
    <definedName name="IQ_NAMES_REVISION_DATE__1" localSheetId="0" hidden="1">40015.4839351852</definedName>
    <definedName name="IQ_NAMES_REVISION_DATE__1" hidden="1">39867.7236111111</definedName>
    <definedName name="IQ_NAMES_REVISION_DATE__1_1" hidden="1">41449.4017592593</definedName>
    <definedName name="IQ_NAMES_REVISION_DATE__2" hidden="1">41449.4017592593</definedName>
    <definedName name="IQ_NAV_ACT_OR_EST" hidden="1">"c2225"</definedName>
    <definedName name="IQ_NAV_REV_DATE_TIME_REUT" hidden="1">"c28562"</definedName>
    <definedName name="IQ_NAV_REVISIONS_REUT" hidden="1">"c28523"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N_CONTROLLING_INTERESTS_FFIEC" hidden="1">"c15366"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REUT" hidden="1">"c15238"</definedName>
    <definedName name="IQ_PBV_FWD_THOM" hidden="1">"c15237"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_REUT" hidden="1">"c5461"</definedName>
    <definedName name="IQ_REVENUE_EST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O_EST" hidden="1">"c263"</definedName>
    <definedName name="IQ_REVENUE_NUM_EST_REUT" hidden="1">"c3638"</definedName>
    <definedName name="IQ_REVOLVING_SECURED_1_4_NON_ACCRUAL_FFIEC" hidden="1">"c13314"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ME_STORE_REV_DATE_TIME_REUT" hidden="1">"c28569"</definedName>
    <definedName name="IQ_SAME_STORE_REVISIONS_REUT" hidden="1">"c28530"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NAME" hidden="1">"c15159"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REV_DATE_TIME_REUT" hidden="1">"c28564"</definedName>
    <definedName name="IQ_TEV_REVISIONS_REUT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Z_SCORE" hidden="1">"c1339"</definedName>
    <definedName name="IQB_BOOKMARK_COUNT" hidden="1">0</definedName>
    <definedName name="IQB_BOOKMARK_LOCATION_0" hidden="1">#REF!</definedName>
    <definedName name="IQB_CURRENT_BOOKMARK" hidden="1">0</definedName>
    <definedName name="IQR111711P10" hidden="1">#REF!</definedName>
    <definedName name="IQR111711P101" hidden="1">#REF!</definedName>
    <definedName name="IQR111711P102" hidden="1">#REF!</definedName>
    <definedName name="IQR111711P103" hidden="1">#REF!</definedName>
    <definedName name="IQR111711P104" hidden="1">#REF!</definedName>
    <definedName name="IQR111711P106" hidden="1">#REF!</definedName>
    <definedName name="IQR111711P107" hidden="1">#REF!</definedName>
    <definedName name="IQR111711P110" hidden="1">#REF!</definedName>
    <definedName name="IQR111711P111" hidden="1">#REF!</definedName>
    <definedName name="IQR111711P112" hidden="1">#REF!</definedName>
    <definedName name="IQR111711P113" hidden="1">#REF!</definedName>
    <definedName name="IQR111711P114" hidden="1">#REF!</definedName>
    <definedName name="IQR111711P117" hidden="1">#REF!</definedName>
    <definedName name="IQR111711P119" hidden="1">#REF!</definedName>
    <definedName name="IQR111711P120" hidden="1">#REF!</definedName>
    <definedName name="IQR111711P122" hidden="1">#REF!</definedName>
    <definedName name="IQR111711P123" hidden="1">#REF!</definedName>
    <definedName name="IQR111711P124" hidden="1">#REF!</definedName>
    <definedName name="IQR111711P127" hidden="1">#REF!</definedName>
    <definedName name="IQR111711P128" hidden="1">#REF!</definedName>
    <definedName name="IQR111711P13" hidden="1">#REF!</definedName>
    <definedName name="IQR111711P131" hidden="1">#REF!</definedName>
    <definedName name="IQR111711P132" hidden="1">#REF!</definedName>
    <definedName name="IQR111711P134" hidden="1">#REF!</definedName>
    <definedName name="IQR111711P135" hidden="1">#REF!</definedName>
    <definedName name="IQR111711P136" hidden="1">#REF!</definedName>
    <definedName name="IQR111711P138" hidden="1">#REF!</definedName>
    <definedName name="IQR111711P139" hidden="1">#REF!</definedName>
    <definedName name="IQR111711P14" hidden="1">#REF!</definedName>
    <definedName name="IQR111711P140" hidden="1">#REF!</definedName>
    <definedName name="IQR111711P141" hidden="1">#REF!</definedName>
    <definedName name="IQR111711P142" hidden="1">#REF!</definedName>
    <definedName name="IQR111711P143" hidden="1">#REF!</definedName>
    <definedName name="IQR111711P144" hidden="1">#REF!</definedName>
    <definedName name="IQR111711P145" hidden="1">#REF!</definedName>
    <definedName name="IQR111711P148" hidden="1">#REF!</definedName>
    <definedName name="IQR111711P149" hidden="1">#REF!</definedName>
    <definedName name="IQR111711P150" hidden="1">#REF!</definedName>
    <definedName name="IQR111711P153" hidden="1">#REF!</definedName>
    <definedName name="IQR111711P155" hidden="1">#REF!</definedName>
    <definedName name="IQR111711P156" hidden="1">#REF!</definedName>
    <definedName name="IQR111711P161" hidden="1">#REF!</definedName>
    <definedName name="IQR111711P163" hidden="1">#REF!</definedName>
    <definedName name="IQR111711P167" hidden="1">#REF!</definedName>
    <definedName name="IQR111711P168" hidden="1">#REF!</definedName>
    <definedName name="IQR111711P169" hidden="1">#REF!</definedName>
    <definedName name="IQR111711P17" hidden="1">#REF!</definedName>
    <definedName name="IQR111711P170" hidden="1">#REF!</definedName>
    <definedName name="IQR111711P172" hidden="1">#REF!</definedName>
    <definedName name="IQR111711P174" hidden="1">#REF!</definedName>
    <definedName name="IQR111711P175" hidden="1">#REF!</definedName>
    <definedName name="IQR111711P179" hidden="1">#REF!</definedName>
    <definedName name="IQR111711P18" hidden="1">#REF!</definedName>
    <definedName name="IQR111711P182" hidden="1">#REF!</definedName>
    <definedName name="IQR111711P183" hidden="1">#REF!</definedName>
    <definedName name="IQR111711P187" hidden="1">#REF!</definedName>
    <definedName name="IQR111711P188" hidden="1">#REF!</definedName>
    <definedName name="IQR111711P190" hidden="1">#REF!</definedName>
    <definedName name="IQR111711P192" hidden="1">#REF!</definedName>
    <definedName name="IQR111711P193" hidden="1">#REF!</definedName>
    <definedName name="IQR111711P195" hidden="1">#REF!</definedName>
    <definedName name="IQR111711P196" hidden="1">#REF!</definedName>
    <definedName name="IQR111711P198" hidden="1">#REF!</definedName>
    <definedName name="IQR111711P199" hidden="1">#REF!</definedName>
    <definedName name="IQR111711P200" hidden="1">#REF!</definedName>
    <definedName name="IQR111711P202" hidden="1">#REF!</definedName>
    <definedName name="IQR111711P205" hidden="1">#REF!</definedName>
    <definedName name="IQR111711P206" hidden="1">#REF!</definedName>
    <definedName name="IQR111711P207" hidden="1">#REF!</definedName>
    <definedName name="IQR111711P208" hidden="1">#REF!</definedName>
    <definedName name="IQR111711P21" hidden="1">#REF!</definedName>
    <definedName name="IQR111711P210" hidden="1">#REF!</definedName>
    <definedName name="IQR111711P211" hidden="1">#REF!</definedName>
    <definedName name="IQR111711P212" hidden="1">#REF!</definedName>
    <definedName name="IQR111711P213" hidden="1">#REF!</definedName>
    <definedName name="IQR111711P214" hidden="1">#REF!</definedName>
    <definedName name="IQR111711P215" hidden="1">#REF!</definedName>
    <definedName name="IQR111711P216" hidden="1">#REF!</definedName>
    <definedName name="IQR111711P218" hidden="1">#REF!</definedName>
    <definedName name="IQR111711P219" hidden="1">#REF!</definedName>
    <definedName name="IQR111711P222" hidden="1">#REF!</definedName>
    <definedName name="IQR111711P223" hidden="1">#REF!</definedName>
    <definedName name="IQR111711P224" hidden="1">#REF!</definedName>
    <definedName name="IQR111711P225" hidden="1">#REF!</definedName>
    <definedName name="IQR111711P227" hidden="1">#REF!</definedName>
    <definedName name="IQR111711P229" hidden="1">#REF!</definedName>
    <definedName name="IQR111711P23" hidden="1">#REF!</definedName>
    <definedName name="IQR111711P230" hidden="1">#REF!</definedName>
    <definedName name="IQR111711P232" hidden="1">#REF!</definedName>
    <definedName name="IQR111711P233" hidden="1">#REF!</definedName>
    <definedName name="IQR111711P234" hidden="1">#REF!</definedName>
    <definedName name="IQR111711P237" hidden="1">#REF!</definedName>
    <definedName name="IQR111711P238" hidden="1">#REF!</definedName>
    <definedName name="IQR111711P239" hidden="1">#REF!</definedName>
    <definedName name="IQR111711P24" hidden="1">#REF!</definedName>
    <definedName name="IQR111711P240" hidden="1">#REF!</definedName>
    <definedName name="IQR111711P242" hidden="1">#REF!</definedName>
    <definedName name="IQR111711P243" hidden="1">#REF!</definedName>
    <definedName name="IQR111711P245" hidden="1">#REF!</definedName>
    <definedName name="IQR111711P247" hidden="1">#REF!</definedName>
    <definedName name="IQR111711P248" hidden="1">#REF!</definedName>
    <definedName name="IQR111711P249" hidden="1">#REF!</definedName>
    <definedName name="IQR111711P25" hidden="1">#REF!</definedName>
    <definedName name="IQR111711P252" hidden="1">#REF!</definedName>
    <definedName name="IQR111711P253" hidden="1">#REF!</definedName>
    <definedName name="IQR111711P254" hidden="1">#REF!</definedName>
    <definedName name="IQR111711P255" hidden="1">#REF!</definedName>
    <definedName name="IQR111711P256" hidden="1">#REF!</definedName>
    <definedName name="IQR111711P257" hidden="1">#REF!</definedName>
    <definedName name="IQR111711P258" hidden="1">#REF!</definedName>
    <definedName name="IQR111711P259" hidden="1">#REF!</definedName>
    <definedName name="IQR111711P26" hidden="1">#REF!</definedName>
    <definedName name="IQR111711P260" hidden="1">#REF!</definedName>
    <definedName name="IQR111711P261" hidden="1">#REF!</definedName>
    <definedName name="IQR111711P263" hidden="1">#REF!</definedName>
    <definedName name="IQR111711P264" hidden="1">#REF!</definedName>
    <definedName name="IQR111711P265" hidden="1">#REF!</definedName>
    <definedName name="IQR111711P266" hidden="1">#REF!</definedName>
    <definedName name="IQR111711P267" hidden="1">#REF!</definedName>
    <definedName name="IQR111711P269" hidden="1">#REF!</definedName>
    <definedName name="IQR111711P27" hidden="1">#REF!</definedName>
    <definedName name="IQR111711P270" hidden="1">#REF!</definedName>
    <definedName name="IQR111711P271" hidden="1">#REF!</definedName>
    <definedName name="IQR111711P275" hidden="1">#REF!</definedName>
    <definedName name="IQR111711P276" hidden="1">#REF!</definedName>
    <definedName name="IQR111711P278" hidden="1">#REF!</definedName>
    <definedName name="IQR111711P279" hidden="1">#REF!</definedName>
    <definedName name="IQR111711P28" hidden="1">#REF!</definedName>
    <definedName name="IQR111711P280" hidden="1">#REF!</definedName>
    <definedName name="IQR111711P281" hidden="1">#REF!</definedName>
    <definedName name="IQR111711P282" hidden="1">#REF!</definedName>
    <definedName name="IQR111711P284" hidden="1">#REF!</definedName>
    <definedName name="IQR111711P285" hidden="1">#REF!</definedName>
    <definedName name="IQR111711P286" hidden="1">#REF!</definedName>
    <definedName name="IQR111711P289" hidden="1">#REF!</definedName>
    <definedName name="IQR111711P29" hidden="1">#REF!</definedName>
    <definedName name="IQR111711P290" hidden="1">#REF!</definedName>
    <definedName name="IQR111711P292" hidden="1">#REF!</definedName>
    <definedName name="IQR111711P294" hidden="1">#REF!</definedName>
    <definedName name="IQR111711P295" hidden="1">#REF!</definedName>
    <definedName name="IQR111711P297" hidden="1">#REF!</definedName>
    <definedName name="IQR111711P299" hidden="1">#REF!</definedName>
    <definedName name="IQR111711P30" hidden="1">#REF!</definedName>
    <definedName name="IQR111711P300" hidden="1">#REF!</definedName>
    <definedName name="IQR111711P301" hidden="1">#REF!</definedName>
    <definedName name="IQR111711P303" hidden="1">#REF!</definedName>
    <definedName name="IQR111711P304" hidden="1">#REF!</definedName>
    <definedName name="IQR111711P306" hidden="1">#REF!</definedName>
    <definedName name="IQR111711P307" hidden="1">#REF!</definedName>
    <definedName name="IQR111711P308" hidden="1">#REF!</definedName>
    <definedName name="IQR111711P309" hidden="1">#REF!</definedName>
    <definedName name="IQR111711P31" hidden="1">#REF!</definedName>
    <definedName name="IQR111711P311" hidden="1">#REF!</definedName>
    <definedName name="IQR111711P312" hidden="1">#REF!</definedName>
    <definedName name="IQR111711P313" hidden="1">#REF!</definedName>
    <definedName name="IQR111711P314" hidden="1">#REF!</definedName>
    <definedName name="IQR111711P315" hidden="1">#REF!</definedName>
    <definedName name="IQR111711P318" hidden="1">#REF!</definedName>
    <definedName name="IQR111711P319" hidden="1">#REF!</definedName>
    <definedName name="IQR111711P32" hidden="1">#REF!</definedName>
    <definedName name="IQR111711P320" hidden="1">#REF!</definedName>
    <definedName name="IQR111711P321" hidden="1">#REF!</definedName>
    <definedName name="IQR111711P322" hidden="1">#REF!</definedName>
    <definedName name="IQR111711P323" hidden="1">#REF!</definedName>
    <definedName name="IQR111711P324" hidden="1">#REF!</definedName>
    <definedName name="IQR111711P325" hidden="1">#REF!</definedName>
    <definedName name="IQR111711P327" hidden="1">#REF!</definedName>
    <definedName name="IQR111711P328" hidden="1">#REF!</definedName>
    <definedName name="IQR111711P329" hidden="1">#REF!</definedName>
    <definedName name="IQR111711P33" hidden="1">#REF!</definedName>
    <definedName name="IQR111711P330" hidden="1">#REF!</definedName>
    <definedName name="IQR111711P331" hidden="1">#REF!</definedName>
    <definedName name="IQR111711P333" hidden="1">#REF!</definedName>
    <definedName name="IQR111711P335" hidden="1">#REF!</definedName>
    <definedName name="IQR111711P336" hidden="1">#REF!</definedName>
    <definedName name="IQR111711P337" hidden="1">#REF!</definedName>
    <definedName name="IQR111711P338" hidden="1">#REF!</definedName>
    <definedName name="IQR111711P339" hidden="1">#REF!</definedName>
    <definedName name="IQR111711P34" hidden="1">#REF!</definedName>
    <definedName name="IQR111711P340" hidden="1">#REF!</definedName>
    <definedName name="IQR111711P341" hidden="1">#REF!</definedName>
    <definedName name="IQR111711P343" hidden="1">#REF!</definedName>
    <definedName name="IQR111711P345" hidden="1">#REF!</definedName>
    <definedName name="IQR111711P346" hidden="1">#REF!</definedName>
    <definedName name="IQR111711P347" hidden="1">#REF!</definedName>
    <definedName name="IQR111711P348" hidden="1">#REF!</definedName>
    <definedName name="IQR111711P349" hidden="1">#REF!</definedName>
    <definedName name="IQR111711P350" hidden="1">#REF!</definedName>
    <definedName name="IQR111711P352" hidden="1">#REF!</definedName>
    <definedName name="IQR111711P353" hidden="1">#REF!</definedName>
    <definedName name="IQR111711P354" hidden="1">#REF!</definedName>
    <definedName name="IQR111711P355" hidden="1">#REF!</definedName>
    <definedName name="IQR111711P356" hidden="1">#REF!</definedName>
    <definedName name="IQR111711P358" hidden="1">#REF!</definedName>
    <definedName name="IQR111711P36" hidden="1">#REF!</definedName>
    <definedName name="IQR111711P361" hidden="1">#REF!</definedName>
    <definedName name="IQR111711P362" hidden="1">#REF!</definedName>
    <definedName name="IQR111711P364" hidden="1">#REF!</definedName>
    <definedName name="IQR111711P367" hidden="1">#REF!</definedName>
    <definedName name="IQR111711P368" hidden="1">#REF!</definedName>
    <definedName name="IQR111711P369" hidden="1">#REF!</definedName>
    <definedName name="IQR111711P37" hidden="1">#REF!</definedName>
    <definedName name="IQR111711P370" hidden="1">#REF!</definedName>
    <definedName name="IQR111711P372" hidden="1">#REF!</definedName>
    <definedName name="IQR111711P374" hidden="1">#REF!</definedName>
    <definedName name="IQR111711P375" hidden="1">#REF!</definedName>
    <definedName name="IQR111711P378" hidden="1">#REF!</definedName>
    <definedName name="IQR111711P379" hidden="1">#REF!</definedName>
    <definedName name="IQR111711P38" hidden="1">#REF!</definedName>
    <definedName name="IQR111711P380" hidden="1">#REF!</definedName>
    <definedName name="IQR111711P381" hidden="1">#REF!</definedName>
    <definedName name="IQR111711P41" hidden="1">#REF!</definedName>
    <definedName name="IQR111711P42" hidden="1">#REF!</definedName>
    <definedName name="IQR111711P43" hidden="1">#REF!</definedName>
    <definedName name="IQR111711P44" hidden="1">#REF!</definedName>
    <definedName name="IQR111711P46" hidden="1">#REF!</definedName>
    <definedName name="IQR111711P48" hidden="1">#REF!</definedName>
    <definedName name="IQR111711P50" hidden="1">#REF!</definedName>
    <definedName name="IQR111711P51" hidden="1">#REF!</definedName>
    <definedName name="IQR111711P55" hidden="1">#REF!</definedName>
    <definedName name="IQR111711P56" hidden="1">#REF!</definedName>
    <definedName name="IQR111711P57" hidden="1">#REF!</definedName>
    <definedName name="IQR111711P58" hidden="1">#REF!</definedName>
    <definedName name="IQR111711P59" hidden="1">#REF!</definedName>
    <definedName name="IQR111711P62" hidden="1">#REF!</definedName>
    <definedName name="IQR111711P64" hidden="1">#REF!</definedName>
    <definedName name="IQR111711P65" hidden="1">#REF!</definedName>
    <definedName name="IQR111711P66" hidden="1">#REF!</definedName>
    <definedName name="IQR111711P67" hidden="1">#REF!</definedName>
    <definedName name="IQR111711P69" hidden="1">#REF!</definedName>
    <definedName name="IQR111711P70" hidden="1">#REF!</definedName>
    <definedName name="IQR111711P71" hidden="1">#REF!</definedName>
    <definedName name="IQR111711P74" hidden="1">#REF!</definedName>
    <definedName name="IQR111711P75" hidden="1">#REF!</definedName>
    <definedName name="IQR111711P76" hidden="1">#REF!</definedName>
    <definedName name="IQR111711P77" hidden="1">#REF!</definedName>
    <definedName name="IQR111711P79" hidden="1">#REF!</definedName>
    <definedName name="IQR111711P81" hidden="1">#REF!</definedName>
    <definedName name="IQR111711P83" hidden="1">#REF!</definedName>
    <definedName name="IQR111711P87" hidden="1">#REF!</definedName>
    <definedName name="IQR111711P88" hidden="1">#REF!</definedName>
    <definedName name="IQR111711P9" hidden="1">#REF!</definedName>
    <definedName name="IQR111711P91" hidden="1">#REF!</definedName>
    <definedName name="IQR111711P92" hidden="1">#REF!</definedName>
    <definedName name="IQR111711P93" hidden="1">#REF!</definedName>
    <definedName name="IQR111711P94" hidden="1">#REF!</definedName>
    <definedName name="IQR111711P95" hidden="1">#REF!</definedName>
    <definedName name="IQR111711P96" hidden="1">#REF!</definedName>
    <definedName name="IQR111711P98" hidden="1">#REF!</definedName>
    <definedName name="IQR111711Q112" hidden="1">#REF!</definedName>
    <definedName name="IQR111711Q113" hidden="1">#REF!</definedName>
    <definedName name="IQR111711Q14" hidden="1">#REF!</definedName>
    <definedName name="IQR111711Q148" hidden="1">#REF!</definedName>
    <definedName name="IQR111711Q149" hidden="1">#REF!</definedName>
    <definedName name="IQR111711Q17" hidden="1">#REF!</definedName>
    <definedName name="IQR111711Q174" hidden="1">#REF!</definedName>
    <definedName name="IQR111711Q175" hidden="1">#REF!</definedName>
    <definedName name="IQR111711Q187" hidden="1">#REF!</definedName>
    <definedName name="IQR111711Q188" hidden="1">#REF!</definedName>
    <definedName name="IQR111711Q224" hidden="1">#REF!</definedName>
    <definedName name="IQR111711Q225" hidden="1">#REF!</definedName>
    <definedName name="IQR111711Q242" hidden="1">#REF!</definedName>
    <definedName name="IQR111711Q243" hidden="1">#REF!</definedName>
    <definedName name="IQR111711Q270" hidden="1">#REF!</definedName>
    <definedName name="IQR111711Q271" hidden="1">#REF!</definedName>
    <definedName name="IQR111711Q289" hidden="1">#REF!</definedName>
    <definedName name="IQR111711Q290" hidden="1">#REF!</definedName>
    <definedName name="IQR111711Q313" hidden="1">#REF!</definedName>
    <definedName name="IQR111711Q314" hidden="1">#REF!</definedName>
    <definedName name="IQR111711Q330" hidden="1">#REF!</definedName>
    <definedName name="IQR111711Q331" hidden="1">#REF!</definedName>
    <definedName name="IQR111711Q43" hidden="1">#REF!</definedName>
    <definedName name="IQR111711Q44" hidden="1">#REF!</definedName>
    <definedName name="IQR111711Q69" hidden="1">#REF!</definedName>
    <definedName name="IQR111711Q70" hidden="1">#REF!</definedName>
    <definedName name="IQR111711Q74" hidden="1">#REF!</definedName>
    <definedName name="IQR111711Q75" hidden="1">#REF!</definedName>
    <definedName name="IQR111711Q76" hidden="1">#REF!</definedName>
    <definedName name="IQR111711Q77" hidden="1">#REF!</definedName>
    <definedName name="IQR111711Q9" hidden="1">#REF!</definedName>
    <definedName name="IQRA10" hidden="1">"$A$11:$A$262"</definedName>
    <definedName name="IQRA11" hidden="1">"$A$12:$A$576"</definedName>
    <definedName name="IQRA14" hidden="1">"$A$15:$A$441"</definedName>
    <definedName name="IQRA15" hidden="1">"$A$16:$A$442"</definedName>
    <definedName name="IQRA28" hidden="1">"$A$29:$A$455"</definedName>
    <definedName name="IQRA29" hidden="1">"$A$30:$A$456"</definedName>
    <definedName name="IQRA3" hidden="1">"$A$4"</definedName>
    <definedName name="IQRA30" hidden="1">"$A$31:$A$454"</definedName>
    <definedName name="IQRA33" hidden="1">"$A$34:$A$457"</definedName>
    <definedName name="IQRA38" hidden="1">"$A$39:$A$48"</definedName>
    <definedName name="IQRA4" hidden="1">"$A$5:$A$248"</definedName>
    <definedName name="IQRA46" hidden="1">"$A$47:$A$473"</definedName>
    <definedName name="IQRA5" localSheetId="0" hidden="1">"$A$6:$A$258"</definedName>
    <definedName name="IQRA5" hidden="1">"$A$6:$A$20"</definedName>
    <definedName name="IQRA56" hidden="1">"$A$57:$A$310"</definedName>
    <definedName name="IQRA6" localSheetId="0" hidden="1">"$A$7:$A$254"</definedName>
    <definedName name="IQRA6" hidden="1">"$A$7:$A$21"</definedName>
    <definedName name="IQRA60" hidden="1">"$A$61:$A$75"</definedName>
    <definedName name="IQRA7" localSheetId="0" hidden="1">"$A$8:$A$434"</definedName>
    <definedName name="IQRA7" hidden="1">"$A$8:$A$21"</definedName>
    <definedName name="IQRA8" hidden="1">"$A$9:$A$19"</definedName>
    <definedName name="IQRA9" hidden="1">"$A$10:$A$262"</definedName>
    <definedName name="IQRAB11" hidden="1">"$AB$12:$AB$576"</definedName>
    <definedName name="IQRAB29" hidden="1">"$AB$30:$AB$456"</definedName>
    <definedName name="IQRAC11" hidden="1">"$AC$12:$AC$564"</definedName>
    <definedName name="IQRAC15" hidden="1">"$AC$16:$AC$442"</definedName>
    <definedName name="IQRAD17" hidden="1">"$AD$18:$AD$268"</definedName>
    <definedName name="IQRAE11" hidden="1">"$AE$12:$AE$576"</definedName>
    <definedName name="IQRAF11" hidden="1">"$AF$12:$AF$584"</definedName>
    <definedName name="IQRAF17" hidden="1">"$AF$18:$AF$223"</definedName>
    <definedName name="IQRAF29" hidden="1">"$AF$30:$AF$456"</definedName>
    <definedName name="IQRAF2AD110" hidden="1">#REF!</definedName>
    <definedName name="IQRAF2AD139" hidden="1">#REF!</definedName>
    <definedName name="IQRAF2AD81" hidden="1">#REF!</definedName>
    <definedName name="IQRAF2AG110" hidden="1">#REF!</definedName>
    <definedName name="IQRAF2AG139" hidden="1">#REF!</definedName>
    <definedName name="IQRAF2AG81" hidden="1">#REF!</definedName>
    <definedName name="IQRAF2AN110" hidden="1">#REF!</definedName>
    <definedName name="IQRAF2AN139" hidden="1">#REF!</definedName>
    <definedName name="IQRAF2AN81" hidden="1">#REF!</definedName>
    <definedName name="IQRAF2AQ110" hidden="1">#REF!</definedName>
    <definedName name="IQRAF2AQ139" hidden="1">#REF!</definedName>
    <definedName name="IQRAF2AQ81" hidden="1">#REF!</definedName>
    <definedName name="IQRAF2D142" hidden="1">#REF!</definedName>
    <definedName name="IQRAF2D46" hidden="1">#REF!</definedName>
    <definedName name="IQRAF2E142" hidden="1">#REF!</definedName>
    <definedName name="IQRAF2F142" hidden="1">#REF!</definedName>
    <definedName name="IQRAF2I46" hidden="1">#REF!</definedName>
    <definedName name="IQRAF2K144" hidden="1">#REF!</definedName>
    <definedName name="IQRAF3AD110" hidden="1">#REF!</definedName>
    <definedName name="IQRAF3AD139" hidden="1">#REF!</definedName>
    <definedName name="IQRAF3AD81" hidden="1">#REF!</definedName>
    <definedName name="IQRAF3AG110" hidden="1">#REF!</definedName>
    <definedName name="IQRAF3AG139" hidden="1">#REF!</definedName>
    <definedName name="IQRAF3AG81" hidden="1">#REF!</definedName>
    <definedName name="IQRAF3AN110" hidden="1">#REF!</definedName>
    <definedName name="IQRAF3AN139" hidden="1">#REF!</definedName>
    <definedName name="IQRAF3AN81" hidden="1">#REF!</definedName>
    <definedName name="IQRAF3AQ110" hidden="1">#REF!</definedName>
    <definedName name="IQRAF3AQ139" hidden="1">#REF!</definedName>
    <definedName name="IQRAF3AQ81" hidden="1">#REF!</definedName>
    <definedName name="IQRAF3D142" hidden="1">#REF!</definedName>
    <definedName name="IQRAF3D46" hidden="1">#REF!</definedName>
    <definedName name="IQRAF3E142" hidden="1">#REF!</definedName>
    <definedName name="IQRAF3F142" hidden="1">#REF!</definedName>
    <definedName name="IQRAF3I46" hidden="1">#REF!</definedName>
    <definedName name="IQRAF3K144" hidden="1">#REF!</definedName>
    <definedName name="IQRAF4" hidden="1">"$AF$5:$AF$257"</definedName>
    <definedName name="IQRAF4AD110" hidden="1">#REF!</definedName>
    <definedName name="IQRAF4AD139" hidden="1">#REF!</definedName>
    <definedName name="IQRAF4AD81" hidden="1">#REF!</definedName>
    <definedName name="IQRAF4AG110" hidden="1">#REF!</definedName>
    <definedName name="IQRAF4AG139" hidden="1">#REF!</definedName>
    <definedName name="IQRAF4AG81" hidden="1">#REF!</definedName>
    <definedName name="IQRAF4AN110" hidden="1">#REF!</definedName>
    <definedName name="IQRAF4AN139" hidden="1">#REF!</definedName>
    <definedName name="IQRAF4AN81" hidden="1">#REF!</definedName>
    <definedName name="IQRAF4AQ110" hidden="1">#REF!</definedName>
    <definedName name="IQRAF4AQ139" hidden="1">#REF!</definedName>
    <definedName name="IQRAF4AQ81" hidden="1">#REF!</definedName>
    <definedName name="IQRAF4D142" hidden="1">#REF!</definedName>
    <definedName name="IQRAF4D46" hidden="1">#REF!</definedName>
    <definedName name="IQRAF4E142" hidden="1">#REF!</definedName>
    <definedName name="IQRAF4F142" hidden="1">#REF!</definedName>
    <definedName name="IQRAF4I46" hidden="1">#REF!</definedName>
    <definedName name="IQRAF4K144" hidden="1">#REF!</definedName>
    <definedName name="IQRAF7" hidden="1">"$AF$8:$AF$257"</definedName>
    <definedName name="IQRAG15" hidden="1">"$AG$16:$AG$442"</definedName>
    <definedName name="IQRAG28" hidden="1">"$AG$29:$AG$445"</definedName>
    <definedName name="IQRAG29" hidden="1">"$AG$30:$AG$446"</definedName>
    <definedName name="IQRAG30" hidden="1">"$AG$31:$AG$452"</definedName>
    <definedName name="IQRAG33" hidden="1">"$AG$34:$AG$455"</definedName>
    <definedName name="IQRAG46" hidden="1">"$AG$47:$AG$463"</definedName>
    <definedName name="IQRAH11" hidden="1">"$AH$12:$AH$576"</definedName>
    <definedName name="IQRAI11" hidden="1">"$AI$12:$AI$576"</definedName>
    <definedName name="IQRAJ29" hidden="1">"$AJ$30:$AJ$456"</definedName>
    <definedName name="IQRAK11" hidden="1">"$AK$12:$AK$576"</definedName>
    <definedName name="IQRAK15" hidden="1">"$AK$16:$AK$442"</definedName>
    <definedName name="IQRAK7" hidden="1">"$AK$8:$AK$256"</definedName>
    <definedName name="IQRAL11" hidden="1">"$AL$12:$AL$576"</definedName>
    <definedName name="IQRAN11" hidden="1">"$AN$12:$AN$576"</definedName>
    <definedName name="IQRAN131" hidden="1">"$AN$132:$AN$151"</definedName>
    <definedName name="IQRAN29" hidden="1">"$AN$30:$AN$456"</definedName>
    <definedName name="IQRAnnotatedStockPriceChartB2" hidden="1">#REF!</definedName>
    <definedName name="IQRAnnotatedStockPriceChartBW2" hidden="1">#REF!</definedName>
    <definedName name="IQRAnnotatedStockPriceChartT2" hidden="1">#REF!</definedName>
    <definedName name="IQRAO11" hidden="1">"$AO$12:$AO$576"</definedName>
    <definedName name="IQRAO131" hidden="1">"$AO$132:$AO$151"</definedName>
    <definedName name="IQRAO15" hidden="1">"$AO$16:$AO$442"</definedName>
    <definedName name="IQRAO28" hidden="1">"$AO$29:$AO$461"</definedName>
    <definedName name="IQRAO29" hidden="1">"$AO$30:$AO$462"</definedName>
    <definedName name="IQRAO30" hidden="1">"$AO$31:$AO$470"</definedName>
    <definedName name="IQRAO33" hidden="1">"$AO$34:$AO$473"</definedName>
    <definedName name="IQRAO46" hidden="1">"$AO$47:$AO$479"</definedName>
    <definedName name="IQRAR11" hidden="1">"$AR$12:$AR$576"</definedName>
    <definedName name="IQRAR29" hidden="1">"$AR$30:$AR$456"</definedName>
    <definedName name="IQRAS15" hidden="1">"$AS$16:$AS$442"</definedName>
    <definedName name="IQRAU11" hidden="1">"$AU$12:$AU$576"</definedName>
    <definedName name="IQRAU7" hidden="1">"$AU$8:$AU$261"</definedName>
    <definedName name="IQRAV29" hidden="1">"$AV$30:$AV$456"</definedName>
    <definedName name="IQRAW28" hidden="1">"$AW$29:$AW$455"</definedName>
    <definedName name="IQRAW29" hidden="1">"$AW$30:$AW$456"</definedName>
    <definedName name="IQRAW30" hidden="1">"$AW$31:$AW$464"</definedName>
    <definedName name="IQRAW33" hidden="1">"$AW$34:$AW$467"</definedName>
    <definedName name="IQRAW46" hidden="1">"$AW$47:$AW$473"</definedName>
    <definedName name="IQRAX11" hidden="1">"$AX$12:$AX$576"</definedName>
    <definedName name="IQRAX9" hidden="1">"$AX$10:$AX$262"</definedName>
    <definedName name="IQRB1" hidden="1">"$B$2:$B$292"</definedName>
    <definedName name="IQRB11" hidden="1">"$B$12:$B$264"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" hidden="1">"$B$3:$B$251"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" hidden="1">"$B$4:$B$554"</definedName>
    <definedName name="IQRB32" hidden="1">"$B$33:$B$37"</definedName>
    <definedName name="IQRB33" localSheetId="0" hidden="1">"$B$34"</definedName>
    <definedName name="IQRB33" hidden="1">"$B$34:$B$38"</definedName>
    <definedName name="IQRB34" localSheetId="0" hidden="1">"$B$35:$B$285"</definedName>
    <definedName name="IQRB34" hidden="1">"$B$35:$B$39"</definedName>
    <definedName name="IQRB38" hidden="1">"$B$39:$B$48"</definedName>
    <definedName name="IQRB4" localSheetId="0" hidden="1">"$B$5:$B$257"</definedName>
    <definedName name="IQRB4" hidden="1">"$B$5:$B$429"</definedName>
    <definedName name="IQRB48" hidden="1">"$B$49:$B$773"</definedName>
    <definedName name="IQRB5" localSheetId="0" hidden="1">"$B$6:$B$258"</definedName>
    <definedName name="IQRB5" hidden="1">"$B$6:$B$20"</definedName>
    <definedName name="IQRB6" localSheetId="0" hidden="1">"$B$7:$B$16"</definedName>
    <definedName name="IQRB6" hidden="1">"$B$7:$B$21"</definedName>
    <definedName name="IQRB8" localSheetId="0" hidden="1">"$B$9:$B$512"</definedName>
    <definedName name="IQRB8" hidden="1">"$B$9:$B$19"</definedName>
    <definedName name="IQRB9" hidden="1">"$B$10:$B$61"</definedName>
    <definedName name="IQRBE28" hidden="1">"$BE$29:$BE$455"</definedName>
    <definedName name="IQRBE29" hidden="1">"$BE$30:$BE$456"</definedName>
    <definedName name="IQRBE30" hidden="1">"$BE$31:$BE$464"</definedName>
    <definedName name="IQRBE33" hidden="1">"$BE$34:$BE$467"</definedName>
    <definedName name="IQRBE46" hidden="1">"$BE$47:$BE$473"</definedName>
    <definedName name="IQRBM28" hidden="1">"$BM$29:$BM$455"</definedName>
    <definedName name="IQRBM29" hidden="1">"$BM$30:$BM$456"</definedName>
    <definedName name="IQRBM30" hidden="1">"$BM$31:$BM$464"</definedName>
    <definedName name="IQRBM33" hidden="1">"$BM$34:$BM$467"</definedName>
    <definedName name="IQRBM46" hidden="1">"$BM$47:$BM$473"</definedName>
    <definedName name="IQRBU28" hidden="1">"$BU$29:$BU$455"</definedName>
    <definedName name="IQRBU29" hidden="1">"$BU$30:$BU$456"</definedName>
    <definedName name="IQRBU30" hidden="1">"$BU$31:$BU$464"</definedName>
    <definedName name="IQRBU33" hidden="1">"$BU$34:$BU$467"</definedName>
    <definedName name="IQRBU46" hidden="1">"$BU$47:$BU$473"</definedName>
    <definedName name="IQRC10" hidden="1">"$C$11:$C$1411"</definedName>
    <definedName name="IQRC11" hidden="1">"$C$12:$C$264"</definedName>
    <definedName name="IQRC15" hidden="1">"$C$16:$C$20"</definedName>
    <definedName name="IQRC24" hidden="1">"$C$25:$C$29"</definedName>
    <definedName name="IQRC33" hidden="1">"$C$34"</definedName>
    <definedName name="IQRC5" localSheetId="0" hidden="1">"$C$6:$C$258"</definedName>
    <definedName name="IQRC5" hidden="1">"$C$6:$C$20"</definedName>
    <definedName name="IQRC6" localSheetId="0" hidden="1">"$C$7:$C$510"</definedName>
    <definedName name="IQRC6" hidden="1">"$C$7:$C$21"</definedName>
    <definedName name="IQRC8" localSheetId="0" hidden="1">"$C$9:$C$512"</definedName>
    <definedName name="IQRC8" hidden="1">"$C$9:$C$19"</definedName>
    <definedName name="IQRCapIQOverviewAD110" hidden="1">#REF!</definedName>
    <definedName name="IQRCapIQOverviewAD139" hidden="1">#REF!</definedName>
    <definedName name="IQRCapIQOverviewAD81" hidden="1">#REF!</definedName>
    <definedName name="IQRCapIQOverviewAG110" hidden="1">#REF!</definedName>
    <definedName name="IQRCapIQOverviewAG139" hidden="1">#REF!</definedName>
    <definedName name="IQRCapIQOverviewAG81" hidden="1">#REF!</definedName>
    <definedName name="IQRCapIQOverviewAN110" hidden="1">#REF!</definedName>
    <definedName name="IQRCapIQOverviewAN139" hidden="1">#REF!</definedName>
    <definedName name="IQRCapIQOverviewAN81" hidden="1">#REF!</definedName>
    <definedName name="IQRCapIQOverviewAQ110" hidden="1">#REF!</definedName>
    <definedName name="IQRCapIQOverviewAQ139" hidden="1">#REF!</definedName>
    <definedName name="IQRCapIQOverviewAQ81" hidden="1">#REF!</definedName>
    <definedName name="IQRCapIQOverviewD142" hidden="1">#REF!</definedName>
    <definedName name="IQRCapIQOverviewD46" hidden="1">#REF!</definedName>
    <definedName name="IQRCapIQOverviewE142" hidden="1">#REF!</definedName>
    <definedName name="IQRCapIQOverviewF142" hidden="1">#REF!</definedName>
    <definedName name="IQRCapIQOverviewI46" hidden="1">#REF!</definedName>
    <definedName name="IQRCapIQOverviewK144" hidden="1">#REF!</definedName>
    <definedName name="IQRCapitalStructureC52" hidden="1">#REF!</definedName>
    <definedName name="IQRCapitalStructureC53" hidden="1">#REF!</definedName>
    <definedName name="IQRCapitalStructureC54" hidden="1">#REF!</definedName>
    <definedName name="IQRCapitalStructureC55" hidden="1">#REF!</definedName>
    <definedName name="IQRCapitalStructureC56" hidden="1">#REF!</definedName>
    <definedName name="IQRCapitalStructureC57" hidden="1">#REF!</definedName>
    <definedName name="IQRCapitalStructureH52" hidden="1">#REF!</definedName>
    <definedName name="IQRCapitalStructureH53" hidden="1">#REF!</definedName>
    <definedName name="IQRCapitalStructureH54" hidden="1">#REF!</definedName>
    <definedName name="IQRCapitalStructureH55" hidden="1">#REF!</definedName>
    <definedName name="IQRCapitalStructureH56" hidden="1">#REF!</definedName>
    <definedName name="IQRCapitalStructureH57" hidden="1">#REF!</definedName>
    <definedName name="IQRCC28" hidden="1">"$CC$29:$CC$455"</definedName>
    <definedName name="IQRCC29" hidden="1">"$CC$30:$CC$456"</definedName>
    <definedName name="IQRCC30" hidden="1">"$CC$31:$CC$464"</definedName>
    <definedName name="IQRCC33" hidden="1">"$CC$34:$CC$467"</definedName>
    <definedName name="IQRCC46" hidden="1">"$CC$47:$CC$473"</definedName>
    <definedName name="IQRCK28" hidden="1">"$CK$29:$CK$455"</definedName>
    <definedName name="IQRCK29" hidden="1">"$CK$30:$CK$456"</definedName>
    <definedName name="IQRCK30" hidden="1">"$CK$31:$CK$464"</definedName>
    <definedName name="IQRCK33" hidden="1">"$CK$34:$CK$467"</definedName>
    <definedName name="IQRCK46" hidden="1">"$CK$47:$CK$473"</definedName>
    <definedName name="IQRCustomIndexX10" hidden="1">#REF!</definedName>
    <definedName name="IQRD11" hidden="1">"$D$12:$D$264"</definedName>
    <definedName name="IQRD15" hidden="1">"$D$16:$D$17"</definedName>
    <definedName name="IQRD33" hidden="1">"$D$34:$D$285"</definedName>
    <definedName name="IQRD41" hidden="1">"$D$42"</definedName>
    <definedName name="IQRD6" hidden="1">"$D$7:$D$510"</definedName>
    <definedName name="IQRD8" localSheetId="0" hidden="1">"$D$9:$D$512"</definedName>
    <definedName name="IQRD8" hidden="1">"$D$9:$D$19"</definedName>
    <definedName name="IQRE1" hidden="1">"$E$2:$E$11"</definedName>
    <definedName name="IQRE11" hidden="1">"$E$12:$E$562"</definedName>
    <definedName name="IQRE15" hidden="1">"$E$16:$E$431"</definedName>
    <definedName name="IQRE19" hidden="1">"$E$20:$E$25"</definedName>
    <definedName name="IQRE2" hidden="1">"$E$3:$E$256"</definedName>
    <definedName name="IQRE20" hidden="1">"$E$21:$E$30"</definedName>
    <definedName name="IQRE21" hidden="1">"$E$22:$E$31"</definedName>
    <definedName name="IQRE22" hidden="1">"$E$23:$E$32"</definedName>
    <definedName name="IQRE24" hidden="1">"$E$25:$E$33"</definedName>
    <definedName name="IQRE8" hidden="1">"$E$9:$E$19"</definedName>
    <definedName name="IQREVEBITDAA4" hidden="1">#REF!</definedName>
    <definedName name="IQREVEBITDAB4" hidden="1">#REF!</definedName>
    <definedName name="IQREVEBITDAB5" hidden="1">#REF!</definedName>
    <definedName name="IQREVEBITDAB6" hidden="1">#REF!</definedName>
    <definedName name="IQREVEBITDAB7" hidden="1">#REF!</definedName>
    <definedName name="IQREVEBITDAB8" hidden="1">#REF!</definedName>
    <definedName name="IQRF1" hidden="1">"$F$2:$F$11"</definedName>
    <definedName name="IQRF11" hidden="1">"$F$12:$F$562"</definedName>
    <definedName name="IQRF19" hidden="1">"$F$20:$F$25"</definedName>
    <definedName name="IQRF2" hidden="1">"$F$3:$F$954"</definedName>
    <definedName name="IQRF20" hidden="1">"$F$21:$F$30"</definedName>
    <definedName name="IQRF21" hidden="1">"$F$22:$F$31"</definedName>
    <definedName name="IQRF22" hidden="1">"$F$23:$F$32"</definedName>
    <definedName name="IQRF24" hidden="1">"$F$25:$F$33"</definedName>
    <definedName name="IQRF6" hidden="1">"$F$7:$F$16"</definedName>
    <definedName name="IQRF7" hidden="1">"$F$8:$F$17"</definedName>
    <definedName name="IQRFIA1SAD110" hidden="1">#REF!</definedName>
    <definedName name="IQRFIA1SAD139" hidden="1">#REF!</definedName>
    <definedName name="IQRFIA1SAD81" hidden="1">#REF!</definedName>
    <definedName name="IQRFIA1SAG110" hidden="1">#REF!</definedName>
    <definedName name="IQRFIA1SAG139" hidden="1">#REF!</definedName>
    <definedName name="IQRFIA1SAG81" hidden="1">#REF!</definedName>
    <definedName name="IQRFIA1SAN110" hidden="1">#REF!</definedName>
    <definedName name="IQRFIA1SAN139" hidden="1">#REF!</definedName>
    <definedName name="IQRFIA1SAN81" hidden="1">#REF!</definedName>
    <definedName name="IQRFIA1SAQ110" hidden="1">#REF!</definedName>
    <definedName name="IQRFIA1SAQ139" hidden="1">#REF!</definedName>
    <definedName name="IQRFIA1SAQ81" hidden="1">#REF!</definedName>
    <definedName name="IQRFIA1SD142" hidden="1">#REF!</definedName>
    <definedName name="IQRFIA1SD46" hidden="1">#REF!</definedName>
    <definedName name="IQRFIA1SE142" hidden="1">#REF!</definedName>
    <definedName name="IQRFIA1SF142" hidden="1">#REF!</definedName>
    <definedName name="IQRFIA1SI46" hidden="1">#REF!</definedName>
    <definedName name="IQRFIA1SK144" hidden="1">#REF!</definedName>
    <definedName name="IQRFOEAD110" hidden="1">#REF!</definedName>
    <definedName name="IQRFOEAD139" hidden="1">#REF!</definedName>
    <definedName name="IQRFOEAD81" hidden="1">#REF!</definedName>
    <definedName name="IQRFOEAG110" hidden="1">#REF!</definedName>
    <definedName name="IQRFOEAG139" hidden="1">#REF!</definedName>
    <definedName name="IQRFOEAG81" hidden="1">#REF!</definedName>
    <definedName name="IQRFOEAN110" hidden="1">#REF!</definedName>
    <definedName name="IQRFOEAN139" hidden="1">#REF!</definedName>
    <definedName name="IQRFOEAN81" hidden="1">#REF!</definedName>
    <definedName name="IQRFOEAQ110" hidden="1">#REF!</definedName>
    <definedName name="IQRFOEAQ139" hidden="1">#REF!</definedName>
    <definedName name="IQRFOEAQ81" hidden="1">#REF!</definedName>
    <definedName name="IQRFOED142" hidden="1">#REF!</definedName>
    <definedName name="IQRFOED46" hidden="1">#REF!</definedName>
    <definedName name="IQRFOEE142" hidden="1">#REF!</definedName>
    <definedName name="IQRFOEF142" hidden="1">#REF!</definedName>
    <definedName name="IQRFOEI46" hidden="1">#REF!</definedName>
    <definedName name="IQRFOEK144" hidden="1">#REF!</definedName>
    <definedName name="IQRFRCAD110" hidden="1">#REF!</definedName>
    <definedName name="IQRFRCAD139" hidden="1">#REF!</definedName>
    <definedName name="IQRFRCAD81" hidden="1">#REF!</definedName>
    <definedName name="IQRFRCAG110" hidden="1">#REF!</definedName>
    <definedName name="IQRFRCAG139" hidden="1">#REF!</definedName>
    <definedName name="IQRFRCAG81" hidden="1">#REF!</definedName>
    <definedName name="IQRFRCAN110" hidden="1">#REF!</definedName>
    <definedName name="IQRFRCAN139" hidden="1">#REF!</definedName>
    <definedName name="IQRFRCAN81" hidden="1">#REF!</definedName>
    <definedName name="IQRFRCAQ110" hidden="1">#REF!</definedName>
    <definedName name="IQRFRCAQ139" hidden="1">#REF!</definedName>
    <definedName name="IQRFRCAQ81" hidden="1">#REF!</definedName>
    <definedName name="IQRFRCD142" hidden="1">#REF!</definedName>
    <definedName name="IQRFRCD46" hidden="1">#REF!</definedName>
    <definedName name="IQRFRCE142" hidden="1">#REF!</definedName>
    <definedName name="IQRFRCF142" hidden="1">#REF!</definedName>
    <definedName name="IQRFRCI46" hidden="1">#REF!</definedName>
    <definedName name="IQRG1" hidden="1">"$G$2:$G$11"</definedName>
    <definedName name="IQRG11" hidden="1">"$G$12:$G$576"</definedName>
    <definedName name="IQRG19" hidden="1">"$G$20:$G$25"</definedName>
    <definedName name="IQRG2" hidden="1">"$G$3:$G$954"</definedName>
    <definedName name="IQRG20" hidden="1">"$G$21:$G$30"</definedName>
    <definedName name="IQRG21" hidden="1">"$G$22:$G$31"</definedName>
    <definedName name="IQRG22" hidden="1">"$G$23:$G$32"</definedName>
    <definedName name="IQRG24" hidden="1">"$G$25:$G$33"</definedName>
    <definedName name="IQRG48" hidden="1">"$G$49:$G$773"</definedName>
    <definedName name="IQRG5" hidden="1">"$G$6:$G$25"</definedName>
    <definedName name="IQRG6" hidden="1">"$G$7:$G$26"</definedName>
    <definedName name="IQRG7" hidden="1">"$G$8:$G$17"</definedName>
    <definedName name="IQRGEAD110" hidden="1">#REF!</definedName>
    <definedName name="IQRGEAD139" hidden="1">#REF!</definedName>
    <definedName name="IQRGEAD14" hidden="1">#REF!</definedName>
    <definedName name="IQRGEAD81" hidden="1">#REF!</definedName>
    <definedName name="IQRGEAG110" hidden="1">#REF!</definedName>
    <definedName name="IQRGEAG139" hidden="1">#REF!</definedName>
    <definedName name="IQRGEAG14" hidden="1">#REF!</definedName>
    <definedName name="IQRGEAG81" hidden="1">#REF!</definedName>
    <definedName name="IQRGEAJ14" hidden="1">#REF!</definedName>
    <definedName name="IQRGEAM14" hidden="1">#REF!</definedName>
    <definedName name="IQRGEAN110" hidden="1">#REF!</definedName>
    <definedName name="IQRGEAN139" hidden="1">#REF!</definedName>
    <definedName name="IQRGEAN81" hidden="1">#REF!</definedName>
    <definedName name="IQRGEAQ110" hidden="1">#REF!</definedName>
    <definedName name="IQRGEAQ139" hidden="1">#REF!</definedName>
    <definedName name="IQRGEAQ81" hidden="1">#REF!</definedName>
    <definedName name="IQRGEC132" hidden="1">#REF!</definedName>
    <definedName name="IQRGED132" hidden="1">#REF!</definedName>
    <definedName name="IQRGED142" hidden="1">#REF!</definedName>
    <definedName name="IQRGED46" hidden="1">#REF!</definedName>
    <definedName name="IQRGEE132" hidden="1">#REF!</definedName>
    <definedName name="IQRGEE142" hidden="1">#REF!</definedName>
    <definedName name="IQRGEF142" hidden="1">#REF!</definedName>
    <definedName name="IQRGEI46" hidden="1">#REF!</definedName>
    <definedName name="IQRGEJ133" hidden="1">#REF!</definedName>
    <definedName name="IQRGEK142" hidden="1">#REF!</definedName>
    <definedName name="IQRGEK144" hidden="1">#REF!</definedName>
    <definedName name="IQRGEK160" hidden="1">#REF!</definedName>
    <definedName name="IQRGEK189" hidden="1">#REF!</definedName>
    <definedName name="IQRGEM133" hidden="1">#REF!</definedName>
    <definedName name="IQRGEN142" hidden="1">#REF!</definedName>
    <definedName name="IQRH1" hidden="1">"$H$2:$H$11"</definedName>
    <definedName name="IQRH11" hidden="1">"$H$12:$H$562"</definedName>
    <definedName name="IQRH2" hidden="1">"$H$3:$H$954"</definedName>
    <definedName name="IQRH20" hidden="1">"$H$21:$H$30"</definedName>
    <definedName name="IQRH21" hidden="1">"$H$22:$H$31"</definedName>
    <definedName name="IQRH22" hidden="1">"$H$23:$H$32"</definedName>
    <definedName name="IQRH29" hidden="1">"$H$30:$H$445"</definedName>
    <definedName name="IQRH4" hidden="1">"$H$5:$H$29"</definedName>
    <definedName name="IQRH48" hidden="1">"$H$49:$H$773"</definedName>
    <definedName name="IQRH5" hidden="1">"$H$6:$H$30"</definedName>
    <definedName name="IQRH63" hidden="1">"$H$64"</definedName>
    <definedName name="IQRH64" hidden="1">"$H$65"</definedName>
    <definedName name="IQRHAL2AD110" hidden="1">#REF!</definedName>
    <definedName name="IQRHAL2AD139" hidden="1">#REF!</definedName>
    <definedName name="IQRHAL2AD81" hidden="1">#REF!</definedName>
    <definedName name="IQRHAL2AG110" hidden="1">#REF!</definedName>
    <definedName name="IQRHAL2AG139" hidden="1">#REF!</definedName>
    <definedName name="IQRHAL2AG81" hidden="1">#REF!</definedName>
    <definedName name="IQRHAL2AN110" hidden="1">#REF!</definedName>
    <definedName name="IQRHAL2AN139" hidden="1">#REF!</definedName>
    <definedName name="IQRHAL2AN81" hidden="1">#REF!</definedName>
    <definedName name="IQRHAL2AQ110" hidden="1">#REF!</definedName>
    <definedName name="IQRHAL2AQ139" hidden="1">#REF!</definedName>
    <definedName name="IQRHAL2AQ81" hidden="1">#REF!</definedName>
    <definedName name="IQRHAL2D142" hidden="1">#REF!</definedName>
    <definedName name="IQRHAL2D46" hidden="1">#REF!</definedName>
    <definedName name="IQRHAL2E142" hidden="1">#REF!</definedName>
    <definedName name="IQRHAL2F142" hidden="1">#REF!</definedName>
    <definedName name="IQRHAL2I46" hidden="1">#REF!</definedName>
    <definedName name="IQRHAL2K144" hidden="1">#REF!</definedName>
    <definedName name="IQRHALAD14" hidden="1">#REF!</definedName>
    <definedName name="IQRHALAG14" hidden="1">#REF!</definedName>
    <definedName name="IQRHALAJ14" hidden="1">#REF!</definedName>
    <definedName name="IQRHALAM14" hidden="1">#REF!</definedName>
    <definedName name="IQRHALC132" hidden="1">#REF!</definedName>
    <definedName name="IQRHALD132" hidden="1">#REF!</definedName>
    <definedName name="IQRHALE132" hidden="1">#REF!</definedName>
    <definedName name="IQRHALJ133" hidden="1">#REF!</definedName>
    <definedName name="IQRHALK142" hidden="1">#REF!</definedName>
    <definedName name="IQRHALK160" hidden="1">#REF!</definedName>
    <definedName name="IQRHALK189" hidden="1">#REF!</definedName>
    <definedName name="IQRHALM133" hidden="1">#REF!</definedName>
    <definedName name="IQRHALN142" hidden="1">#REF!</definedName>
    <definedName name="IQRI11" hidden="1">"$I$12:$I$562"</definedName>
    <definedName name="IQRI15" hidden="1">"$I$16:$I$442"</definedName>
    <definedName name="IQRI2" hidden="1">"$I$3:$I$906"</definedName>
    <definedName name="IQRI28" hidden="1">"$I$29:$I$444"</definedName>
    <definedName name="IQRI29" hidden="1">"$I$30:$I$445"</definedName>
    <definedName name="IQRI30" hidden="1">"$I$31:$I$464"</definedName>
    <definedName name="IQRI33" hidden="1">"$I$34:$I$467"</definedName>
    <definedName name="IQRI4" hidden="1">"$I$5:$I$29"</definedName>
    <definedName name="IQRI46" hidden="1">"$I$47:$I$462"</definedName>
    <definedName name="IQRI5" hidden="1">"$I$6:$I$25"</definedName>
    <definedName name="IQRI6" hidden="1">"$I$7:$I$26"</definedName>
    <definedName name="IQRI7" hidden="1">"$I$8:$I$17"</definedName>
    <definedName name="IQRIGSSAD110" hidden="1">#REF!</definedName>
    <definedName name="IQRIGSSAD139" hidden="1">#REF!</definedName>
    <definedName name="IQRIGSSAD81" hidden="1">#REF!</definedName>
    <definedName name="IQRIGSSAG110" hidden="1">#REF!</definedName>
    <definedName name="IQRIGSSAG139" hidden="1">#REF!</definedName>
    <definedName name="IQRIGSSAG81" hidden="1">#REF!</definedName>
    <definedName name="IQRIGSSAN110" hidden="1">#REF!</definedName>
    <definedName name="IQRIGSSAN139" hidden="1">#REF!</definedName>
    <definedName name="IQRIGSSAN81" hidden="1">#REF!</definedName>
    <definedName name="IQRIGSSAQ110" hidden="1">#REF!</definedName>
    <definedName name="IQRIGSSAQ139" hidden="1">#REF!</definedName>
    <definedName name="IQRIGSSAQ81" hidden="1">#REF!</definedName>
    <definedName name="IQRIGSSD142" hidden="1">#REF!</definedName>
    <definedName name="IQRIGSSD46" hidden="1">#REF!</definedName>
    <definedName name="IQRIGSSE142" hidden="1">#REF!</definedName>
    <definedName name="IQRIGSSF142" hidden="1">#REF!</definedName>
    <definedName name="IQRIGSSI46" hidden="1">#REF!</definedName>
    <definedName name="IQRIGSSK144" hidden="1">#REF!</definedName>
    <definedName name="IQRImpliedPremiumsM30" hidden="1">#REF!</definedName>
    <definedName name="IQRImpliedPremiumsN30" hidden="1">#REF!</definedName>
    <definedName name="IQRImpliedPremiumsP30" hidden="1">#REF!</definedName>
    <definedName name="IQRImpliedPremiumsQ30" hidden="1">#REF!</definedName>
    <definedName name="IQRJ11" hidden="1">"$J$12:$J$562"</definedName>
    <definedName name="IQRJ63" hidden="1">"$J$64"</definedName>
    <definedName name="IQRJ64" hidden="1">"$J$65"</definedName>
    <definedName name="IQRJ7" hidden="1">"$J$8:$J$17"</definedName>
    <definedName name="IQRK2" hidden="1">"$K$3:$K$906"</definedName>
    <definedName name="IQRK4" hidden="1">"$K$5:$K$29"</definedName>
    <definedName name="IQRK5" hidden="1">"$K$6:$K$20"</definedName>
    <definedName name="IQRK6" hidden="1">"$K$7:$K$11"</definedName>
    <definedName name="IQRL29" hidden="1">"$L$30:$L$456"</definedName>
    <definedName name="IQRL4" hidden="1">"$L$5:$L$29"</definedName>
    <definedName name="IQRL5" hidden="1">"$L$6:$L$30"</definedName>
    <definedName name="IQRL63" hidden="1">"$L$64"</definedName>
    <definedName name="IQRL64" hidden="1">"$L$65"</definedName>
    <definedName name="IQRM11" hidden="1">"$M$12:$M$576"</definedName>
    <definedName name="IQRM15" hidden="1">"$M$16:$M$442"</definedName>
    <definedName name="IQRM5" hidden="1">"$M$6:$M$20"</definedName>
    <definedName name="IQRM6" hidden="1">"$M$7:$M$11"</definedName>
    <definedName name="IQRMarketApproachG7" localSheetId="0" hidden="1">#REF!</definedName>
    <definedName name="IQRMarketApproachG7" hidden="1">#REF!</definedName>
    <definedName name="IQRMgmtBODF7" hidden="1">#REF!</definedName>
    <definedName name="IQRMgmtBODG7" hidden="1">#REF!</definedName>
    <definedName name="IQRMgmtBODI7" hidden="1">#REF!</definedName>
    <definedName name="IQRMgmtBODJ7" hidden="1">#REF!</definedName>
    <definedName name="IQRMSFTAD110" hidden="1">#REF!</definedName>
    <definedName name="IQRMSFTAD139" hidden="1">#REF!</definedName>
    <definedName name="IQRMSFTAD81" hidden="1">#REF!</definedName>
    <definedName name="IQRMSFTAG110" hidden="1">#REF!</definedName>
    <definedName name="IQRMSFTAG139" hidden="1">#REF!</definedName>
    <definedName name="IQRMSFTAG81" hidden="1">#REF!</definedName>
    <definedName name="IQRMSFTAN110" hidden="1">#REF!</definedName>
    <definedName name="IQRMSFTAN139" hidden="1">#REF!</definedName>
    <definedName name="IQRMSFTAN81" hidden="1">#REF!</definedName>
    <definedName name="IQRMSFTAQ110" hidden="1">#REF!</definedName>
    <definedName name="IQRMSFTAQ139" hidden="1">#REF!</definedName>
    <definedName name="IQRMSFTAQ81" hidden="1">#REF!</definedName>
    <definedName name="IQRMSFTD142" hidden="1">#REF!</definedName>
    <definedName name="IQRMSFTD46" hidden="1">#REF!</definedName>
    <definedName name="IQRMSFTE142" hidden="1">#REF!</definedName>
    <definedName name="IQRMSFTF142" hidden="1">#REF!</definedName>
    <definedName name="IQRMSFTI46" hidden="1">#REF!</definedName>
    <definedName name="IQRMSFTK144" hidden="1">#REF!</definedName>
    <definedName name="IQRN12" hidden="1">"$N$13:$N$27"</definedName>
    <definedName name="IQRN25" hidden="1">"$N$26:$N$47"</definedName>
    <definedName name="IQRN5" hidden="1">"$N$6:$N$20"</definedName>
    <definedName name="IQRNDEBITDAB7" hidden="1">#REF!</definedName>
    <definedName name="IQRNDEBITDAB8" hidden="1">#REF!</definedName>
    <definedName name="IQRNESAD110" hidden="1">#REF!</definedName>
    <definedName name="IQRNESAD139" hidden="1">#REF!</definedName>
    <definedName name="IQRNESAD81" hidden="1">#REF!</definedName>
    <definedName name="IQRNESAG110" hidden="1">#REF!</definedName>
    <definedName name="IQRNESAG139" hidden="1">#REF!</definedName>
    <definedName name="IQRNESAG81" hidden="1">#REF!</definedName>
    <definedName name="IQRNESAN110" hidden="1">#REF!</definedName>
    <definedName name="IQRNESAN139" hidden="1">#REF!</definedName>
    <definedName name="IQRNESAN81" hidden="1">#REF!</definedName>
    <definedName name="IQRNESAQ110" hidden="1">#REF!</definedName>
    <definedName name="IQRNESAQ139" hidden="1">#REF!</definedName>
    <definedName name="IQRNESAQ81" hidden="1">#REF!</definedName>
    <definedName name="IQRNESD142" hidden="1">#REF!</definedName>
    <definedName name="IQRNESD46" hidden="1">#REF!</definedName>
    <definedName name="IQRNESE142" hidden="1">#REF!</definedName>
    <definedName name="IQRNESF142" hidden="1">#REF!</definedName>
    <definedName name="IQRNESI46" hidden="1">#REF!</definedName>
    <definedName name="IQRNESK144" hidden="1">#REF!</definedName>
    <definedName name="IQRNOVAD14" hidden="1">#REF!</definedName>
    <definedName name="IQRNOVAG14" hidden="1">#REF!</definedName>
    <definedName name="IQRNOVAJ14" hidden="1">#REF!</definedName>
    <definedName name="IQRNOVAM14" hidden="1">#REF!</definedName>
    <definedName name="IQRNOVC132" hidden="1">#REF!</definedName>
    <definedName name="IQRNOVD132" hidden="1">#REF!</definedName>
    <definedName name="IQRNOVE132" hidden="1">#REF!</definedName>
    <definedName name="IQRNOVJ133" hidden="1">#REF!</definedName>
    <definedName name="IQRNOVK142" hidden="1">#REF!</definedName>
    <definedName name="IQRNOVK160" hidden="1">#REF!</definedName>
    <definedName name="IQRNOVK189" hidden="1">#REF!</definedName>
    <definedName name="IQRNOVM133" hidden="1">#REF!</definedName>
    <definedName name="IQRNOVN142" hidden="1">#REF!</definedName>
    <definedName name="IQRO2" hidden="1">"$O$3:$O$12"</definedName>
    <definedName name="IQRO23" hidden="1">"$O$24:$O$41"</definedName>
    <definedName name="IQRO5" hidden="1">"$O$6:$O$25"</definedName>
    <definedName name="IQRO6" hidden="1">"$O$7:$O$31"</definedName>
    <definedName name="IQRP11" hidden="1">"$P$12:$P$576"</definedName>
    <definedName name="IQRP2" hidden="1">"$P$3:$P$12"</definedName>
    <definedName name="IQRP29" hidden="1">"$P$30:$P$456"</definedName>
    <definedName name="IQRPeerGroupMAAA61" hidden="1">#REF!</definedName>
    <definedName name="IQRPeerGroupMAAB61" hidden="1">#REF!</definedName>
    <definedName name="IQRPeerGroupMAAC61" hidden="1">#REF!</definedName>
    <definedName name="IQRPeerGroupMAAD61" hidden="1">#REF!</definedName>
    <definedName name="IQRPeerGroupMAAE61" hidden="1">#REF!</definedName>
    <definedName name="IQRPeerGroupMAAF61" hidden="1">#REF!</definedName>
    <definedName name="IQRPeerGroupMAAG61" hidden="1">#REF!</definedName>
    <definedName name="IQRPeerGroupMAAH61" hidden="1">#REF!</definedName>
    <definedName name="IQRPeerGroupMAAI61" hidden="1">#REF!</definedName>
    <definedName name="IQRPeerGroupMAAJ61" hidden="1">#REF!</definedName>
    <definedName name="IQRPeerGroupMAC61" hidden="1">#REF!</definedName>
    <definedName name="IQRPeerGroupMAD61" hidden="1">#REF!</definedName>
    <definedName name="IQRPeerGroupMAE61" hidden="1">#REF!</definedName>
    <definedName name="IQRPeerGroupMAF61" hidden="1">#REF!</definedName>
    <definedName name="IQRPeerGroupMAG61" hidden="1">#REF!</definedName>
    <definedName name="IQRPeerGroupMAH61" hidden="1">#REF!</definedName>
    <definedName name="IQRPeerGroupMAI61" hidden="1">#REF!</definedName>
    <definedName name="IQRPeerGroupMAJ61" hidden="1">#REF!</definedName>
    <definedName name="IQRPeerGroupMAK61" hidden="1">#REF!</definedName>
    <definedName name="IQRPeerGroupMAL61" hidden="1">#REF!</definedName>
    <definedName name="IQRPeerGroupMAM61" hidden="1">#REF!</definedName>
    <definedName name="IQRPeerGroupMAN61" hidden="1">#REF!</definedName>
    <definedName name="IQRPeerGroupMAO61" hidden="1">#REF!</definedName>
    <definedName name="IQRPeerGroupMAQ61" hidden="1">#REF!</definedName>
    <definedName name="IQRPeerGroupMAS61" hidden="1">#REF!</definedName>
    <definedName name="IQRPeerGroupMAT61" hidden="1">#REF!</definedName>
    <definedName name="IQRPeerGroupMAV61" hidden="1">#REF!</definedName>
    <definedName name="IQRPeerGroupMAW61" hidden="1">#REF!</definedName>
    <definedName name="IQRPeerGroupMAY61" hidden="1">#REF!</definedName>
    <definedName name="IQRPeerGroupMAZ61" hidden="1">#REF!</definedName>
    <definedName name="IQRPriceVolumeA10" hidden="1">#REF!</definedName>
    <definedName name="IQRPriceVolumeA8" hidden="1">#REF!</definedName>
    <definedName name="IQRPriceVolumeSiliconware2A10" hidden="1">#REF!</definedName>
    <definedName name="IQRPriceVolumeSiliconwareA10" hidden="1">#REF!</definedName>
    <definedName name="IQRQ11" hidden="1">"$Q$12:$Q$576"</definedName>
    <definedName name="IQRQ15" hidden="1">"$Q$16:$Q$432"</definedName>
    <definedName name="IQRQ2" hidden="1">"$Q$3:$Q$12"</definedName>
    <definedName name="IQRQ25" hidden="1">"$Q$26:$Q$1442"</definedName>
    <definedName name="IQRQ28" hidden="1">"$Q$29:$Q$455"</definedName>
    <definedName name="IQRQ29" hidden="1">"$Q$30:$Q$456"</definedName>
    <definedName name="IQRQ30" hidden="1">"$Q$31:$Q$464"</definedName>
    <definedName name="IQRQ33" hidden="1">"$Q$34:$Q$467"</definedName>
    <definedName name="IQRQ46" hidden="1">"$Q$47:$Q$473"</definedName>
    <definedName name="IQRQ5" hidden="1">"$Q$6:$Q$25"</definedName>
    <definedName name="IQRQ6" hidden="1">"$Q$7:$Q$31"</definedName>
    <definedName name="IQRR23" hidden="1">"$R$24:$R$1442"</definedName>
    <definedName name="IQRR25" hidden="1">"$R$26:$R$1442"</definedName>
    <definedName name="IQRRareEBITDAA4" hidden="1">#REF!</definedName>
    <definedName name="IQRRareMcapA4" hidden="1">#REF!</definedName>
    <definedName name="IQRRecentStockTradingHistory_CNH54" hidden="1">#REF!</definedName>
    <definedName name="IQRRecentStockTradingHistory_CNI54" hidden="1">#REF!</definedName>
    <definedName name="IQRRecentStockTradingHistory_CNJ54" hidden="1">#REF!</definedName>
    <definedName name="IQRRelativeStockPerformance_v1H52" hidden="1">#REF!</definedName>
    <definedName name="IQRRelativeStockPerformanceI52" hidden="1">#REF!</definedName>
    <definedName name="IQRRNOAD110" hidden="1">#REF!</definedName>
    <definedName name="IQRRNOAD139" hidden="1">#REF!</definedName>
    <definedName name="IQRRNOAD81" hidden="1">#REF!</definedName>
    <definedName name="IQRRNOAG110" hidden="1">#REF!</definedName>
    <definedName name="IQRRNOAG139" hidden="1">#REF!</definedName>
    <definedName name="IQRRNOAG81" hidden="1">#REF!</definedName>
    <definedName name="IQRRNOAN110" hidden="1">#REF!</definedName>
    <definedName name="IQRRNOAN139" hidden="1">#REF!</definedName>
    <definedName name="IQRRNOAN81" hidden="1">#REF!</definedName>
    <definedName name="IQRRNOAQ110" hidden="1">#REF!</definedName>
    <definedName name="IQRRNOAQ139" hidden="1">#REF!</definedName>
    <definedName name="IQRRNOAQ81" hidden="1">#REF!</definedName>
    <definedName name="IQRRNOD142" hidden="1">#REF!</definedName>
    <definedName name="IQRRNOD46" hidden="1">#REF!</definedName>
    <definedName name="IQRRNOE142" hidden="1">#REF!</definedName>
    <definedName name="IQRRNOF142" hidden="1">#REF!</definedName>
    <definedName name="IQRRNOI46" hidden="1">#REF!</definedName>
    <definedName name="IQRRNOK144" hidden="1">#REF!</definedName>
    <definedName name="IQRS11" hidden="1">"$S$12:$S$564"</definedName>
    <definedName name="IQRS6" hidden="1">"$S$7:$S$31"</definedName>
    <definedName name="IQRSDRLAD110" hidden="1">#REF!</definedName>
    <definedName name="IQRSDRLAD139" hidden="1">#REF!</definedName>
    <definedName name="IQRSDRLAD81" hidden="1">#REF!</definedName>
    <definedName name="IQRSDRLAG110" hidden="1">#REF!</definedName>
    <definedName name="IQRSDRLAG139" hidden="1">#REF!</definedName>
    <definedName name="IQRSDRLAG81" hidden="1">#REF!</definedName>
    <definedName name="IQRSDRLAN110" hidden="1">#REF!</definedName>
    <definedName name="IQRSDRLAN139" hidden="1">#REF!</definedName>
    <definedName name="IQRSDRLAN81" hidden="1">#REF!</definedName>
    <definedName name="IQRSDRLAQ110" hidden="1">#REF!</definedName>
    <definedName name="IQRSDRLAQ139" hidden="1">#REF!</definedName>
    <definedName name="IQRSDRLAQ81" hidden="1">#REF!</definedName>
    <definedName name="IQRSDRLD142" hidden="1">#REF!</definedName>
    <definedName name="IQRSDRLD46" hidden="1">#REF!</definedName>
    <definedName name="IQRSDRLE142" hidden="1">#REF!</definedName>
    <definedName name="IQRSDRLF142" hidden="1">#REF!</definedName>
    <definedName name="IQRSDRLI46" hidden="1">#REF!</definedName>
    <definedName name="IQRSDRLK144" hidden="1">#REF!</definedName>
    <definedName name="IQRSelectedTradingCompsO16" hidden="1">#REF!</definedName>
    <definedName name="IQRShareholdersG6" hidden="1">#REF!</definedName>
    <definedName name="IQRShareholdersI6" hidden="1">#REF!</definedName>
    <definedName name="IQRShareholdersK6" hidden="1">#REF!</definedName>
    <definedName name="IQRShareholdersM6" hidden="1">#REF!</definedName>
    <definedName name="IQRShareholdersO6" hidden="1">#REF!</definedName>
    <definedName name="IQRShareholdersQ6" hidden="1">#REF!</definedName>
    <definedName name="IQRSheet1A7" hidden="1">#REF!</definedName>
    <definedName name="IQRSheet1H6" hidden="1">#REF!</definedName>
    <definedName name="IQRSLBAD110" hidden="1">#REF!</definedName>
    <definedName name="IQRSLBAD139" hidden="1">#REF!</definedName>
    <definedName name="IQRSLBAD14" hidden="1">#REF!</definedName>
    <definedName name="IQRSLBAG14" hidden="1">#REF!</definedName>
    <definedName name="IQRSLBAJ14" hidden="1">#REF!</definedName>
    <definedName name="IQRSLBAM14" hidden="1">#REF!</definedName>
    <definedName name="IQRSLBC132" hidden="1">#REF!</definedName>
    <definedName name="IQRSLBD132" hidden="1">#REF!</definedName>
    <definedName name="IQRSLBE132" hidden="1">#REF!</definedName>
    <definedName name="IQRSLBJ133" hidden="1">#REF!</definedName>
    <definedName name="IQRSLBK142" hidden="1">#REF!</definedName>
    <definedName name="IQRSLBK160" hidden="1">#REF!</definedName>
    <definedName name="IQRSLBK189" hidden="1">#REF!</definedName>
    <definedName name="IQRSLBM133" hidden="1">#REF!</definedName>
    <definedName name="IQRSLBN142" hidden="1">#REF!</definedName>
    <definedName name="IQRSpecEBITDA10YrA4" hidden="1">#REF!</definedName>
    <definedName name="IQRSpecEBITDAA4" hidden="1">#REF!</definedName>
    <definedName name="IQRStockChartAC7" hidden="1">#REF!</definedName>
    <definedName name="IQRStockChartAD7" hidden="1">#REF!</definedName>
    <definedName name="IQRStockChartAE7" hidden="1">#REF!</definedName>
    <definedName name="IQRStockChartAF7" hidden="1">#REF!</definedName>
    <definedName name="IQRStockChartAG7" hidden="1">#REF!</definedName>
    <definedName name="IQRStockChartAH7" hidden="1">#REF!</definedName>
    <definedName name="IQRStockChartAI7" hidden="1">#REF!</definedName>
    <definedName name="IQRStockChartAJ7" hidden="1">#REF!</definedName>
    <definedName name="IQRStockChartAK7" hidden="1">#REF!</definedName>
    <definedName name="IQRStockChartAL7" hidden="1">#REF!</definedName>
    <definedName name="IQRStockChartS12" hidden="1">#REF!</definedName>
    <definedName name="IQRStockTradingHistory_Spin2H54" hidden="1">#REF!</definedName>
    <definedName name="IQRStockTradingHistory_Spin2I54" hidden="1">#REF!</definedName>
    <definedName name="IQRStockTradingHistory_Spin2J54" hidden="1">#REF!</definedName>
    <definedName name="IQRStockTradingHistory1YearH52" hidden="1">#REF!</definedName>
    <definedName name="IQRStockTradingHistory2014CNH54" hidden="1">#REF!</definedName>
    <definedName name="IQRStockTradingHistory2014CNI54" hidden="1">#REF!</definedName>
    <definedName name="IQRStockTradingHistory2014CNJ54" hidden="1">#REF!</definedName>
    <definedName name="IQRStockTradingHistoryG63" hidden="1">#REF!</definedName>
    <definedName name="IQRStockTradingHistoryH63" hidden="1">#REF!</definedName>
    <definedName name="IQRStockTradingHistoryI63" hidden="1">#REF!</definedName>
    <definedName name="IQRSubjectAC17" hidden="1">#REF!</definedName>
    <definedName name="IQRSubjectAC43" hidden="1">#REF!</definedName>
    <definedName name="IQRSubjectAF17" hidden="1">#REF!</definedName>
    <definedName name="IQRSubjectAF43" hidden="1">#REF!</definedName>
    <definedName name="IQRSubjectAL17" hidden="1">#REF!</definedName>
    <definedName name="IQRSubjectAL43" hidden="1">#REF!</definedName>
    <definedName name="IQRSubjectAR17" hidden="1">#REF!</definedName>
    <definedName name="IQRSubjectAR43" hidden="1">#REF!</definedName>
    <definedName name="IQRT11" hidden="1">"$T$12:$T$562"</definedName>
    <definedName name="IQRT2" hidden="1">"$T$3:$T$251"</definedName>
    <definedName name="IQRT29" hidden="1">"$T$30:$T$446"</definedName>
    <definedName name="IQRTECAD14" hidden="1">#REF!</definedName>
    <definedName name="IQRTECAG14" hidden="1">#REF!</definedName>
    <definedName name="IQRTECAJ14" hidden="1">#REF!</definedName>
    <definedName name="IQRTECAM14" hidden="1">#REF!</definedName>
    <definedName name="IQRTECC132" hidden="1">#REF!</definedName>
    <definedName name="IQRTECD132" hidden="1">#REF!</definedName>
    <definedName name="IQRTECE132" hidden="1">#REF!</definedName>
    <definedName name="IQRTECJ133" hidden="1">#REF!</definedName>
    <definedName name="IQRTECK142" hidden="1">#REF!</definedName>
    <definedName name="IQRTECK160" hidden="1">#REF!</definedName>
    <definedName name="IQRTECK189" hidden="1">#REF!</definedName>
    <definedName name="IQRTECM133" hidden="1">#REF!</definedName>
    <definedName name="IQRTECN142" hidden="1">#REF!</definedName>
    <definedName name="IQRTemp2AD110" hidden="1">#REF!</definedName>
    <definedName name="IQRTemp2AD139" hidden="1">#REF!</definedName>
    <definedName name="IQRTemp2AD14" hidden="1">#REF!</definedName>
    <definedName name="IQRTemp2AD81" hidden="1">#REF!</definedName>
    <definedName name="IQRTemp2AG110" hidden="1">#REF!</definedName>
    <definedName name="IQRTemp2AG139" hidden="1">#REF!</definedName>
    <definedName name="IQRTemp2AG14" hidden="1">#REF!</definedName>
    <definedName name="IQRTemp2AG81" hidden="1">#REF!</definedName>
    <definedName name="IQRTemp2AJ14" hidden="1">#REF!</definedName>
    <definedName name="IQRTemp2AM14" hidden="1">#REF!</definedName>
    <definedName name="IQRTemp2AN110" hidden="1">#REF!</definedName>
    <definedName name="IQRTemp2AN139" hidden="1">#REF!</definedName>
    <definedName name="IQRTemp2AN81" hidden="1">#REF!</definedName>
    <definedName name="IQRTemp2AQ110" hidden="1">#REF!</definedName>
    <definedName name="IQRTemp2AQ139" hidden="1">#REF!</definedName>
    <definedName name="IQRTemp2AQ81" hidden="1">#REF!</definedName>
    <definedName name="IQRTemp2C132" hidden="1">#REF!</definedName>
    <definedName name="IQRTemp2D132" hidden="1">#REF!</definedName>
    <definedName name="IQRTemp2D142" hidden="1">#REF!</definedName>
    <definedName name="IQRTemp2D46" hidden="1">#REF!</definedName>
    <definedName name="IQRTemp2E132" hidden="1">#REF!</definedName>
    <definedName name="IQRTemp2E142" hidden="1">#REF!</definedName>
    <definedName name="IQRTemp2F142" hidden="1">#REF!</definedName>
    <definedName name="IQRTemp2I46" hidden="1">#REF!</definedName>
    <definedName name="IQRTemp2J133" hidden="1">#REF!</definedName>
    <definedName name="IQRTemp2K142" hidden="1">#REF!</definedName>
    <definedName name="IQRTemp2K144" hidden="1">#REF!</definedName>
    <definedName name="IQRTemp2K160" hidden="1">#REF!</definedName>
    <definedName name="IQRTemp2K189" hidden="1">#REF!</definedName>
    <definedName name="IQRTemp2M133" hidden="1">#REF!</definedName>
    <definedName name="IQRTemp2N142" hidden="1">#REF!</definedName>
    <definedName name="IQRTemp3C132" hidden="1">#REF!</definedName>
    <definedName name="IQRTemp3D132" hidden="1">#REF!</definedName>
    <definedName name="IQRTemp3E132" hidden="1">#REF!</definedName>
    <definedName name="IQRTemp3J133" hidden="1">#REF!</definedName>
    <definedName name="IQRTemp3M133" hidden="1">#REF!</definedName>
    <definedName name="IQRTemp4C132" hidden="1">#REF!</definedName>
    <definedName name="IQRTemp4D132" hidden="1">#REF!</definedName>
    <definedName name="IQRTemp4E132" hidden="1">#REF!</definedName>
    <definedName name="IQRTemp4J133" hidden="1">#REF!</definedName>
    <definedName name="IQRTemp4M133" hidden="1">#REF!</definedName>
    <definedName name="IQRTemp5C132" hidden="1">#REF!</definedName>
    <definedName name="IQRTemp5D132" hidden="1">#REF!</definedName>
    <definedName name="IQRTemp5E132" hidden="1">#REF!</definedName>
    <definedName name="IQRTemp5J133" hidden="1">#REF!</definedName>
    <definedName name="IQRTemp5M133" hidden="1">#REF!</definedName>
    <definedName name="IQRTempAD110" hidden="1">#REF!</definedName>
    <definedName name="IQRTempAD139" hidden="1">#REF!</definedName>
    <definedName name="IQRTempAD14" hidden="1">#REF!</definedName>
    <definedName name="IQRTempAD81" hidden="1">#REF!</definedName>
    <definedName name="IQRTempAG110" hidden="1">#REF!</definedName>
    <definedName name="IQRTempAG139" hidden="1">#REF!</definedName>
    <definedName name="IQRTempAG14" hidden="1">#REF!</definedName>
    <definedName name="IQRTempAG81" hidden="1">#REF!</definedName>
    <definedName name="IQRTempAJ14" hidden="1">#REF!</definedName>
    <definedName name="IQRTempAM14" hidden="1">#REF!</definedName>
    <definedName name="IQRTempAN110" hidden="1">#REF!</definedName>
    <definedName name="IQRTempAN139" hidden="1">#REF!</definedName>
    <definedName name="IQRTempAN81" hidden="1">#REF!</definedName>
    <definedName name="IQRTempAO14" hidden="1">#REF!</definedName>
    <definedName name="IQRTempAQ110" hidden="1">#REF!</definedName>
    <definedName name="IQRTempAQ139" hidden="1">#REF!</definedName>
    <definedName name="IQRTempAQ81" hidden="1">#REF!</definedName>
    <definedName name="IQRTempAR14" hidden="1">#REF!</definedName>
    <definedName name="IQRTempC106" hidden="1">#REF!</definedName>
    <definedName name="IQRTempC107" hidden="1">#REF!</definedName>
    <definedName name="IQRTempC108" hidden="1">#REF!</definedName>
    <definedName name="IQRTempC132" hidden="1">#REF!</definedName>
    <definedName name="IQRTempC133" hidden="1">#REF!</definedName>
    <definedName name="IQRTempC134" hidden="1">#REF!</definedName>
    <definedName name="IQRTempC135" hidden="1">#REF!</definedName>
    <definedName name="IQRTempC136" hidden="1">#REF!</definedName>
    <definedName name="IQRTempC137" hidden="1">#REF!</definedName>
    <definedName name="IQRTempC138" hidden="1">#REF!</definedName>
    <definedName name="IQRTempC139" hidden="1">#REF!</definedName>
    <definedName name="IQRTempC55" hidden="1">#REF!</definedName>
    <definedName name="IQRTempC58" hidden="1">#REF!</definedName>
    <definedName name="IQRTempC59" hidden="1">#REF!</definedName>
    <definedName name="IQRTempC60" hidden="1">#REF!</definedName>
    <definedName name="IQRTempD106" hidden="1">#REF!</definedName>
    <definedName name="IQRTempD107" hidden="1">#REF!</definedName>
    <definedName name="IQRTempD108" hidden="1">#REF!</definedName>
    <definedName name="IQRTempD132" hidden="1">#REF!</definedName>
    <definedName name="IQRTempD133" hidden="1">#REF!</definedName>
    <definedName name="IQRTempD134" hidden="1">#REF!</definedName>
    <definedName name="IQRTempD135" hidden="1">#REF!</definedName>
    <definedName name="IQRTempD136" hidden="1">#REF!</definedName>
    <definedName name="IQRTempD137" hidden="1">#REF!</definedName>
    <definedName name="IQRTempD138" hidden="1">#REF!</definedName>
    <definedName name="IQRTempD139" hidden="1">#REF!</definedName>
    <definedName name="IQRTempD140" hidden="1">#REF!</definedName>
    <definedName name="IQRTempD141" hidden="1">#REF!</definedName>
    <definedName name="IQRTempD142" hidden="1">#REF!</definedName>
    <definedName name="IQRTempD37" hidden="1">#REF!</definedName>
    <definedName name="IQRTempD45" hidden="1">#REF!</definedName>
    <definedName name="IQRTempD46" hidden="1">#REF!</definedName>
    <definedName name="IQRTempD48" hidden="1">#REF!</definedName>
    <definedName name="IQRTempE108" hidden="1">#REF!</definedName>
    <definedName name="IQRTempE132" hidden="1">#REF!</definedName>
    <definedName name="IQRTempE133" hidden="1">#REF!</definedName>
    <definedName name="IQRTempE134" hidden="1">#REF!</definedName>
    <definedName name="IQRTempE135" hidden="1">#REF!</definedName>
    <definedName name="IQRTempE136" hidden="1">#REF!</definedName>
    <definedName name="IQRTempE137" hidden="1">#REF!</definedName>
    <definedName name="IQRTempE138" hidden="1">#REF!</definedName>
    <definedName name="IQRTempE139" hidden="1">#REF!</definedName>
    <definedName name="IQRTempE140" hidden="1">#REF!</definedName>
    <definedName name="IQRTempE141" hidden="1">#REF!</definedName>
    <definedName name="IQRTempE142" hidden="1">#REF!</definedName>
    <definedName name="IQRTempF139" hidden="1">#REF!</definedName>
    <definedName name="IQRTempF140" hidden="1">#REF!</definedName>
    <definedName name="IQRTempF141" hidden="1">#REF!</definedName>
    <definedName name="IQRTempF142" hidden="1">#REF!</definedName>
    <definedName name="IQRTempF55" hidden="1">#REF!</definedName>
    <definedName name="IQRTempF58" hidden="1">#REF!</definedName>
    <definedName name="IQRTempF59" hidden="1">#REF!</definedName>
    <definedName name="IQRTempF60" hidden="1">#REF!</definedName>
    <definedName name="IQRTempH24" hidden="1">#REF!</definedName>
    <definedName name="IQRTempI45" hidden="1">#REF!</definedName>
    <definedName name="IQRTempI46" hidden="1">#REF!</definedName>
    <definedName name="IQRTempI48" hidden="1">#REF!</definedName>
    <definedName name="IQRTempJ133" hidden="1">#REF!</definedName>
    <definedName name="IQRTempJ134" hidden="1">#REF!</definedName>
    <definedName name="IQRTempJ135" hidden="1">#REF!</definedName>
    <definedName name="IQRTempJ136" hidden="1">#REF!</definedName>
    <definedName name="IQRTempJ137" hidden="1">#REF!</definedName>
    <definedName name="IQRTempJ138" hidden="1">#REF!</definedName>
    <definedName name="IQRTempJ139" hidden="1">#REF!</definedName>
    <definedName name="IQRTempJ140" hidden="1">#REF!</definedName>
    <definedName name="IQRTempK140" hidden="1">#REF!</definedName>
    <definedName name="IQRTempK141" hidden="1">#REF!</definedName>
    <definedName name="IQRTempK142" hidden="1">#REF!</definedName>
    <definedName name="IQRTempK144" hidden="1">#REF!</definedName>
    <definedName name="IQRTempK160" hidden="1">#REF!</definedName>
    <definedName name="IQRTempK162" hidden="1">#REF!</definedName>
    <definedName name="IQRTempK173" hidden="1">#REF!</definedName>
    <definedName name="IQRTempK189" hidden="1">#REF!</definedName>
    <definedName name="IQRTemplateC77" hidden="1">#REF!</definedName>
    <definedName name="IQRTempM133" hidden="1">#REF!</definedName>
    <definedName name="IQRTempM134" hidden="1">#REF!</definedName>
    <definedName name="IQRTempM135" hidden="1">#REF!</definedName>
    <definedName name="IQRTempM136" hidden="1">#REF!</definedName>
    <definedName name="IQRTempM137" hidden="1">#REF!</definedName>
    <definedName name="IQRTempM138" hidden="1">#REF!</definedName>
    <definedName name="IQRTempM139" hidden="1">#REF!</definedName>
    <definedName name="IQRTempM140" hidden="1">#REF!</definedName>
    <definedName name="IQRTempM146" hidden="1">#REF!</definedName>
    <definedName name="IQRTempN140" hidden="1">#REF!</definedName>
    <definedName name="IQRTempN141" hidden="1">#REF!</definedName>
    <definedName name="IQRTempN142" hidden="1">#REF!</definedName>
    <definedName name="IQRTempP136" hidden="1">#REF!</definedName>
    <definedName name="IQRTempQ142" hidden="1">#REF!</definedName>
    <definedName name="IQRTempR142" hidden="1">#REF!</definedName>
    <definedName name="IQRTempS136" hidden="1">#REF!</definedName>
    <definedName name="IQRTempT142" hidden="1">#REF!</definedName>
    <definedName name="IQRTGSAD110" hidden="1">#REF!</definedName>
    <definedName name="IQRTGSAD139" hidden="1">#REF!</definedName>
    <definedName name="IQRTGSAD81" hidden="1">#REF!</definedName>
    <definedName name="IQRTGSAG110" hidden="1">#REF!</definedName>
    <definedName name="IQRTGSAG139" hidden="1">#REF!</definedName>
    <definedName name="IQRTGSAG81" hidden="1">#REF!</definedName>
    <definedName name="IQRTGSAN110" hidden="1">#REF!</definedName>
    <definedName name="IQRTGSAN139" hidden="1">#REF!</definedName>
    <definedName name="IQRTGSAN81" hidden="1">#REF!</definedName>
    <definedName name="IQRTGSAQ110" hidden="1">#REF!</definedName>
    <definedName name="IQRTGSAQ139" hidden="1">#REF!</definedName>
    <definedName name="IQRTGSAQ81" hidden="1">#REF!</definedName>
    <definedName name="IQRTGSD142" hidden="1">#REF!</definedName>
    <definedName name="IQRTGSD46" hidden="1">#REF!</definedName>
    <definedName name="IQRTGSE142" hidden="1">#REF!</definedName>
    <definedName name="IQRTGSF142" hidden="1">#REF!</definedName>
    <definedName name="IQRTGSI46" hidden="1">#REF!</definedName>
    <definedName name="IQRU15" hidden="1">"$U$16:$U$448"</definedName>
    <definedName name="IQRU6" hidden="1">"$U$7:$U$31"</definedName>
    <definedName name="IQRV11" hidden="1">"$V$12:$V$584"</definedName>
    <definedName name="IQRvolatilityIPO0110Z26" hidden="1">#REF!</definedName>
    <definedName name="IQRW11" hidden="1">"$W$12:$W$576"</definedName>
    <definedName name="IQRWACCAnalysis2BK14" hidden="1">#REF!</definedName>
    <definedName name="IQRWACCAnalysis2BS14" hidden="1">#REF!</definedName>
    <definedName name="IQRWACCAnalysis3BK14" hidden="1">#REF!</definedName>
    <definedName name="IQRWACCAnalysis3BS14" hidden="1">#REF!</definedName>
    <definedName name="IQRWACCAnalysis4BK14" hidden="1">#REF!</definedName>
    <definedName name="IQRWACCAnalysis4BS14" hidden="1">#REF!</definedName>
    <definedName name="IQRX10" hidden="1">"$X$11:$X$114"</definedName>
    <definedName name="IQRX29" hidden="1">"$X$30:$X$462"</definedName>
    <definedName name="IQRxxxC132" hidden="1">#REF!</definedName>
    <definedName name="IQRxxxD132" hidden="1">#REF!</definedName>
    <definedName name="IQRxxxE132" hidden="1">#REF!</definedName>
    <definedName name="IQRxxxJ133" hidden="1">#REF!</definedName>
    <definedName name="IQRxxxM133" hidden="1">#REF!</definedName>
    <definedName name="IQRY11" hidden="1">"$Y$12:$Y$576"</definedName>
    <definedName name="IQRY15" hidden="1">"$Y$16:$Y$442"</definedName>
    <definedName name="IQRY28" hidden="1">"$Y$29:$Y$455"</definedName>
    <definedName name="IQRY29" hidden="1">"$Y$30:$Y$456"</definedName>
    <definedName name="IQRY30" hidden="1">"$Y$31:$Y$464"</definedName>
    <definedName name="IQRY33" hidden="1">"$Y$34:$Y$467"</definedName>
    <definedName name="IQRY46" hidden="1">"$Y$47:$Y$473"</definedName>
    <definedName name="IQRZ11" hidden="1">"$Z$12:$Z$576"</definedName>
    <definedName name="iQShowHideColumns" hidden="1">"iQShowAll"</definedName>
    <definedName name="IsColHidden" hidden="1">FALSE</definedName>
    <definedName name="IsLTMColHidden" hidden="1">FALSE</definedName>
    <definedName name="ISNEEDINFO1" hidden="1">1</definedName>
    <definedName name="ISNEEDINFO2" hidden="1">"ENCODE_"</definedName>
    <definedName name="Issue" hidden="1">"BL7FKFTY6NDALOTZZF8PFRAS6"</definedName>
    <definedName name="itjo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Revised" localSheetId="0" hidden="1">{#N/A,#N/A,TRUE,"TS";#N/A,#N/A,TRUE,"Combo";#N/A,#N/A,TRUE,"FAIR";#N/A,#N/A,TRUE,"RBC";#N/A,#N/A,TRUE,"xxxx"}</definedName>
    <definedName name="ITRevised" hidden="1">{#N/A,#N/A,TRUE,"TS";#N/A,#N/A,TRUE,"Combo";#N/A,#N/A,TRUE,"FAIR";#N/A,#N/A,TRUE,"RBC";#N/A,#N/A,TRUE,"xxxx"}</definedName>
    <definedName name="iu" localSheetId="0" hidden="1">{#N/A,#N/A,FALSE,"II-2 POP.HH";#N/A,#N/A,FALSE,"II-3 AGE.DIST";#N/A,#N/A,FALSE,"II-4 HH.DIST";#N/A,#N/A,FALSE,"II-5 EMP.INDUS"}</definedName>
    <definedName name="iu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iyrt" localSheetId="0" hidden="1">{#N/A,#N/A,TRUE,"A";#N/A,#N/A,TRUE,"B";#N/A,#N/A,TRUE,"C";#N/A,#N/A,TRUE,"D";#N/A,#N/A,TRUE,"E"}</definedName>
    <definedName name="iyrt" hidden="1">{#N/A,#N/A,TRUE,"A";#N/A,#N/A,TRUE,"B";#N/A,#N/A,TRUE,"C";#N/A,#N/A,TRUE,"D";#N/A,#N/A,TRUE,"E"}</definedName>
    <definedName name="j.xls" localSheetId="0" hidden="1">{#N/A,#N/A,FALSE,"OffAdvance";#N/A,#N/A,FALSE,"OffExpRprt";#N/A,#N/A,FALSE,"Entertmnt";#N/A,#N/A,FALSE,"Promotion";#N/A,#N/A,FALSE,"Travelling"}</definedName>
    <definedName name="j.xls" hidden="1">{#N/A,#N/A,FALSE,"OffAdvance";#N/A,#N/A,FALSE,"OffExpRprt";#N/A,#N/A,FALSE,"Entertmnt";#N/A,#N/A,FALSE,"Promotion";#N/A,#N/A,FALSE,"Travelling"}</definedName>
    <definedName name="J_WT" hidden="1">#REF!</definedName>
    <definedName name="jafjeofj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jeofj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o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f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l" localSheetId="0" hidden="1">{#N/A,#N/A,FALSE,"TAXC.INDEX";#N/A,#N/A,FALSE,"Schedule I";#N/A,#N/A,FALSE,"Schedule  II";#N/A,#N/A,FALSE,"Schedule III"}</definedName>
    <definedName name="jal" hidden="1">{#N/A,#N/A,FALSE,"TAXC.INDEX";#N/A,#N/A,FALSE,"Schedule I";#N/A,#N/A,FALSE,"Schedule  II";#N/A,#N/A,FALSE,"Schedule III"}</definedName>
    <definedName name="jao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aos" hidden="1">{#N/A,#N/A,FALSE,"DIR-REP";#N/A,#N/A,FALSE,"AUD-REPORT";#N/A,#N/A,FALSE,"P7L&amp;BS";#N/A,#N/A,FALSE,"NOTES";#N/A,#N/A,FALSE,"FA";#N/A,#N/A,FALSE,"NOTES (2)";#N/A,#N/A,FALSE,"Schedule  IV";#N/A,#N/A,FALSE,"Schedule V"}</definedName>
    <definedName name="japoe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p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so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s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y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b" localSheetId="0" hidden="1">{"summary1",#N/A,TRUE,"Comps";"summary2",#N/A,TRUE,"Comps";"summary3",#N/A,TRUE,"Comps"}</definedName>
    <definedName name="jb" hidden="1">{"summary1",#N/A,TRUE,"Comps";"summary2",#N/A,TRUE,"Comps";"summary3",#N/A,TRUE,"Comps"}</definedName>
    <definedName name="jbaoe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fe" localSheetId="0" hidden="1">{#N/A,#N/A,FALSE,"TAXC.INDEX";#N/A,#N/A,FALSE,"Schedule I";#N/A,#N/A,FALSE,"Schedule  II";#N/A,#N/A,FALSE,"Schedule III"}</definedName>
    <definedName name="jbaofe" hidden="1">{#N/A,#N/A,FALSE,"TAXC.INDEX";#N/A,#N/A,FALSE,"Schedule I";#N/A,#N/A,FALSE,"Schedule  II";#N/A,#N/A,FALSE,"Schedule III"}</definedName>
    <definedName name="jbo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ejaf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boejaf" hidden="1">{#N/A,#N/A,FALSE,"DIR-REP";#N/A,#N/A,FALSE,"AUD-REPORT";#N/A,#N/A,FALSE,"P7L&amp;BS";#N/A,#N/A,FALSE,"NOTES";#N/A,#N/A,FALSE,"FA";#N/A,#N/A,FALSE,"NOTES (2)";#N/A,#N/A,FALSE,"Schedule  IV";#N/A,#N/A,FALSE,"Schedule V"}</definedName>
    <definedName name="jbos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o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kd" hidden="1">#REF!</definedName>
    <definedName name="jco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f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g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co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cqkb" localSheetId="0" hidden="1">{#N/A,#N/A,FALSE,"负债表"}</definedName>
    <definedName name="jcqkb" hidden="1">{#N/A,#N/A,FALSE,"负债表"}</definedName>
    <definedName name="jdla" hidden="1">#REF!</definedName>
    <definedName name="JEs" localSheetId="0" hidden="1">{"incStmt",#N/A,TRUE,"Fin'l Stmts.";"cashflw",#N/A,TRUE,"Fin'l Stmts.";"ChangeinPtnrCap",#N/A,TRUE,"Fin'l Stmts.";#N/A,#N/A,TRUE,"PCA";#N/A,#N/A,TRUE,"Inc. Alloc.";"Balance",#N/A,TRUE,"Fin'l Stmts."}</definedName>
    <definedName name="JEs" hidden="1">{"incStmt",#N/A,TRUE,"Fin'l Stmts.";"cashflw",#N/A,TRUE,"Fin'l Stmts.";"ChangeinPtnrCap",#N/A,TRUE,"Fin'l Stmts.";#N/A,#N/A,TRUE,"PCA";#N/A,#N/A,TRUE,"Inc. Alloc.";"Balance",#N/A,TRUE,"Fin'l Stmts."}</definedName>
    <definedName name="jfaoej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oej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jf" localSheetId="0" hidden="1">{"'TYPE (2)'!$A$1:$Q$76"}</definedName>
    <definedName name="jfjf" hidden="1">{"'TYPE (2)'!$A$1:$Q$76"}</definedName>
    <definedName name="jfjfj" localSheetId="0" hidden="1">{#N/A,#N/A,TRUE,"Cover sheet";#N/A,#N/A,TRUE,"DCF analysis";#N/A,#N/A,TRUE,"WACC calculation"}</definedName>
    <definedName name="jfjfj" hidden="1">{#N/A,#N/A,TRUE,"Cover sheet";#N/A,#N/A,TRUE,"DCF analysis";#N/A,#N/A,TRUE,"WACC calculation"}</definedName>
    <definedName name="jgaoejf" localSheetId="0" hidden="1">{#N/A,#N/A,FALSE,"TAXC.INDEX";#N/A,#N/A,FALSE,"Schedule I";#N/A,#N/A,FALSE,"Schedule  II";#N/A,#N/A,FALSE,"Schedule III"}</definedName>
    <definedName name="jgaoejf" hidden="1">{#N/A,#N/A,FALSE,"TAXC.INDEX";#N/A,#N/A,FALSE,"Schedule I";#N/A,#N/A,FALSE,"Schedule  II";#N/A,#N/A,FALSE,"Schedule III"}</definedName>
    <definedName name="jgaoejf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ej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f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en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gaofen" hidden="1">{#N/A,#N/A,FALSE,"DIR-REP";#N/A,#N/A,FALSE,"AUD-REPORT";#N/A,#N/A,FALSE,"P7L&amp;BS";#N/A,#N/A,FALSE,"NOTES";#N/A,#N/A,FALSE,"FA";#N/A,#N/A,FALSE,"NOTES (2)";#N/A,#N/A,FALSE,"Schedule  IV";#N/A,#N/A,FALSE,"Schedule V"}</definedName>
    <definedName name="jgaofje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gaofje" hidden="1">{#N/A,#N/A,FALSE,"DIR-REP";#N/A,#N/A,FALSE,"AUD-REPORT";#N/A,#N/A,FALSE,"P7L&amp;BS";#N/A,#N/A,FALSE,"NOTES";#N/A,#N/A,FALSE,"FA";#N/A,#N/A,FALSE,"NOTES (2)";#N/A,#N/A,FALSE,"Schedule  IV";#N/A,#N/A,FALSE,"Schedule V"}</definedName>
    <definedName name="jgaojef" localSheetId="0" hidden="1">{#N/A,#N/A,FALSE,"TAXC.INDEX";#N/A,#N/A,FALSE,"Schedule I";#N/A,#N/A,FALSE,"Schedule  II";#N/A,#N/A,FALSE,"Schedule III"}</definedName>
    <definedName name="jgaojef" hidden="1">{#N/A,#N/A,FALSE,"TAXC.INDEX";#N/A,#N/A,FALSE,"Schedule I";#N/A,#N/A,FALSE,"Schedule  II";#N/A,#N/A,FALSE,"Schedule III"}</definedName>
    <definedName name="jhgjhgjghj" localSheetId="0" hidden="1">{"mgmt forecast",#N/A,FALSE,"Mgmt Forecast";"dcf table",#N/A,FALSE,"Mgmt Forecast";"sensitivity",#N/A,FALSE,"Mgmt Forecast";"table inputs",#N/A,FALSE,"Mgmt Forecast";"calculations",#N/A,FALSE,"Mgmt Forecast"}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k" localSheetId="0" hidden="1">{"print 1",#N/A,FALSE,"PrimeCo PCS";"print 2",#N/A,FALSE,"PrimeCo PCS";"valuation",#N/A,FALSE,"PrimeCo PCS"}</definedName>
    <definedName name="jhk" hidden="1">{"print 1",#N/A,FALSE,"PrimeCo PCS";"print 2",#N/A,FALSE,"PrimeCo PCS";"valuation",#N/A,FALSE,"PrimeCo PCS"}</definedName>
    <definedName name="jhkkjk" localSheetId="0" hidden="1">{"mgmt forecast",#N/A,FALSE,"Mgmt Forecast";"dcf table",#N/A,FALSE,"Mgmt Forecast";"sensitivity",#N/A,FALSE,"Mgmt Forecast";"table inputs",#N/A,FALSE,"Mgmt Forecast";"calculations",#N/A,FALSE,"Mgmt Forecast"}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y" localSheetId="0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E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IE" hidden="1">{#N/A,#N/A,FALSE,"DIR-REP";#N/A,#N/A,FALSE,"AUD-REPORT";#N/A,#N/A,FALSE,"P7L&amp;BS";#N/A,#N/A,FALSE,"NOTES";#N/A,#N/A,FALSE,"FA";#N/A,#N/A,FALSE,"NOTES (2)";#N/A,#N/A,FALSE,"Schedule  IV";#N/A,#N/A,FALSE,"Schedule V"}</definedName>
    <definedName name="JIM" localSheetId="0" hidden="1">{"JimZhang - Personal View",#N/A,FALSE,"800230"}</definedName>
    <definedName name="JIM" hidden="1">{"JimZhang - Personal View",#N/A,FALSE,"800230"}</definedName>
    <definedName name="jj_ns" localSheetId="0" hidden="1">{#N/A,#N/A,FALSE,"Bezirk SW";#N/A,#N/A,FALSE,"Dir S (GK)";#N/A,#N/A,FALSE,"Dir FR (PK)"}</definedName>
    <definedName name="jj_ns" hidden="1">{#N/A,#N/A,FALSE,"Bezirk SW";#N/A,#N/A,FALSE,"Dir S (GK)";#N/A,#N/A,FALSE,"Dir FR (PK)"}</definedName>
    <definedName name="jjfgg" localSheetId="0" hidden="1">{0,0,"",0}</definedName>
    <definedName name="jjfgg" hidden="1">{0,0,"",0}</definedName>
    <definedName name="jjieuth3kr5jdfhgkhkl73579082375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jieuth3kr5jdfhgkhkl7357908237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JJJ" hidden="1">#REF!</definedName>
    <definedName name="jjjj2" localSheetId="0" hidden="1">{#N/A,#N/A,FALSE,"TAXC.INDEX";#N/A,#N/A,FALSE,"Schedule I";#N/A,#N/A,FALSE,"Schedule  II";#N/A,#N/A,FALSE,"Schedule III"}</definedName>
    <definedName name="jjjj2" hidden="1">{#N/A,#N/A,FALSE,"TAXC.INDEX";#N/A,#N/A,FALSE,"Schedule I";#N/A,#N/A,FALSE,"Schedule  II";#N/A,#N/A,FALSE,"Schedule III"}</definedName>
    <definedName name="jjjjjj" localSheetId="0" hidden="1">{"trademark1",#N/A,FALSE,"Trademark(s) and Trade Name(s)"}</definedName>
    <definedName name="jjjjjj" hidden="1">{"trademark1",#N/A,FALSE,"Trademark(s) and Trade Name(s)"}</definedName>
    <definedName name="jjjjjjj" localSheetId="0" hidden="1">{"histincome",#N/A,FALSE,"hyfins";"closing balance",#N/A,FALSE,"hyfins"}</definedName>
    <definedName name="jjjjjjj" hidden="1">{"histincome",#N/A,FALSE,"hyfins";"closing balance",#N/A,FALSE,"hyfins"}</definedName>
    <definedName name="JJZK" hidden="1">#REF!</definedName>
    <definedName name="jk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jkjk" localSheetId="0" hidden="1">{"GuVGmbH",#N/A,FALSE,"ratios";"BilanzGmbH",#N/A,FALSE,"ratios";"BilanzKG",#N/A,FALSE,"ratios";"GuVKG",#N/A,FALSE,"ratios"}</definedName>
    <definedName name="jkjkjk" hidden="1">{"GuVGmbH",#N/A,FALSE,"ratios";"BilanzGmbH",#N/A,FALSE,"ratios";"BilanzKG",#N/A,FALSE,"ratios";"GuVKG",#N/A,FALSE,"ratios"}</definedName>
    <definedName name="jkjyf" localSheetId="0" hidden="1">{0,0,0,0}</definedName>
    <definedName name="jkjyf" hidden="1">{0,0,0,0}</definedName>
    <definedName name="jkls" localSheetId="0" hidden="1">{#N/A,#N/A,FALSE,"负债表"}</definedName>
    <definedName name="jkls" hidden="1">{#N/A,#N/A,FALSE,"负债表"}</definedName>
    <definedName name="JKPUIOKJL" localSheetId="0" hidden="1">{"JimZhang - Personal View",#N/A,FALSE,"800230"}</definedName>
    <definedName name="JKPUIOKJL" hidden="1">{"JimZhang - Personal View",#N/A,FALSE,"800230"}</definedName>
    <definedName name="jn" localSheetId="0" hidden="1">{#N/A,#N/A,FALSE,"TAXC.INDEX";#N/A,#N/A,FALSE,"Schedule I";#N/A,#N/A,FALSE,"Schedule  II";#N/A,#N/A,FALSE,"Schedule III"}</definedName>
    <definedName name="jn" hidden="1">{#N/A,#N/A,FALSE,"TAXC.INDEX";#N/A,#N/A,FALSE,"Schedule I";#N/A,#N/A,FALSE,"Schedule  II";#N/A,#N/A,FALSE,"Schedule III"}</definedName>
    <definedName name="jo" localSheetId="0" hidden="1">{#N/A,#N/A,FALSE,"pop.hh";#N/A,#N/A,FALSE,"age.dist";#N/A,#N/A,FALSE,"hh.income";#N/A,#N/A,FALSE,"hh.chars"}</definedName>
    <definedName name="jo" hidden="1">#REF!</definedName>
    <definedName name="joanna" localSheetId="0" hidden="1">{#N/A,#N/A,FALSE,"II-2 POP.HH";#N/A,#N/A,FALSE,"II-3 AGE.DIST";#N/A,#N/A,FALSE,"II-4 HH.DIST";#N/A,#N/A,FALSE,"II-5 EMP.INDUS"}</definedName>
    <definedName name="joanna" hidden="1">{#N/A,#N/A,FALSE,"II-2 POP.HH";#N/A,#N/A,FALSE,"II-3 AGE.DIST";#N/A,#N/A,FALSE,"II-4 HH.DIST";#N/A,#N/A,FALSE,"II-5 EMP.INDUS"}</definedName>
    <definedName name="job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b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dfjeog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fjeo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l" localSheetId="0" hidden="1">{#N/A,#N/A,FALSE,"TAXC.INDEX";#N/A,#N/A,FALSE,"Schedule I";#N/A,#N/A,FALSE,"Schedule  II";#N/A,#N/A,FALSE,"Schedule III"}</definedName>
    <definedName name="jodl" hidden="1">{#N/A,#N/A,FALSE,"TAXC.INDEX";#N/A,#N/A,FALSE,"Schedule I";#N/A,#N/A,FALSE,"Schedule  II";#N/A,#N/A,FALSE,"Schedule III"}</definedName>
    <definedName name="Joe" localSheetId="0" hidden="1">{"FY04_Assets",#N/A,FALSE,"Fin Stmt Budget";"FY04_Liabilities",#N/A,FALSE,"Fin Stmt Budget";"FY04_Inc_Stmt",#N/A,FALSE,"Fin Stmt Budget";"FY04_SOCF",#N/A,FALSE,"Fin Stmt Budget"}</definedName>
    <definedName name="Joe" hidden="1">{"FY04_Assets",#N/A,FALSE,"Fin Stmt Budget";"FY04_Liabilities",#N/A,FALSE,"Fin Stmt Budget";"FY04_Inc_Stmt",#N/A,FALSE,"Fin Stmt Budget";"FY04_SOCF",#N/A,FALSE,"Fin Stmt Budget"}</definedName>
    <definedName name="joeja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oejas" hidden="1">{#N/A,#N/A,FALSE,"DIR-REP";#N/A,#N/A,FALSE,"AUD-REPORT";#N/A,#N/A,FALSE,"P7L&amp;BS";#N/A,#N/A,FALSE,"NOTES";#N/A,#N/A,FALSE,"FA";#N/A,#N/A,FALSE,"NOTES (2)";#N/A,#N/A,FALSE,"Schedule  IV";#N/A,#N/A,FALSE,"Schedule V"}</definedName>
    <definedName name="jol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olt" hidden="1">{#N/A,#N/A,FALSE,"DIR-REP";#N/A,#N/A,FALSE,"AUD-REPORT";#N/A,#N/A,FALSE,"P7L&amp;BS";#N/A,#N/A,FALSE,"NOTES";#N/A,#N/A,FALSE,"FA";#N/A,#N/A,FALSE,"NOTES (2)";#N/A,#N/A,FALSE,"Schedule  IV";#N/A,#N/A,FALSE,"Schedule V"}</definedName>
    <definedName name="jos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r" localSheetId="0" hidden="1">{#N/A,#N/A,FALSE,"TFX Med. Europe Full Year in $"}</definedName>
    <definedName name="jr" hidden="1">{#N/A,#N/A,FALSE,"TFX Med. Europe Full Year in $"}</definedName>
    <definedName name="jsdljs" hidden="1">#REF!</definedName>
    <definedName name="jseoag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e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k" localSheetId="0" hidden="1">{#N/A,#N/A,FALSE,"UNIT";#N/A,#N/A,FALSE,"UNIT";#N/A,#N/A,FALSE,"계정"}</definedName>
    <definedName name="jsk" hidden="1">{#N/A,#N/A,FALSE,"UNIT";#N/A,#N/A,FALSE,"UNIT";#N/A,#N/A,FALSE,"계정"}</definedName>
    <definedName name="jsoe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ULY" localSheetId="0" hidden="1">{#N/A,#N/A,FALSE,"GPM";#N/A,#N/A,FALSE,"CE";#N/A,#N/A,FALSE,"Heat";#N/A,#N/A,FALSE,"ResTm";#N/A,#N/A,FALSE,"BLEND$"}</definedName>
    <definedName name="JULY" hidden="1">{#N/A,#N/A,FALSE,"GPM";#N/A,#N/A,FALSE,"CE";#N/A,#N/A,FALSE,"Heat";#N/A,#N/A,FALSE,"ResTm";#N/A,#N/A,FALSE,"BLEND$"}</definedName>
    <definedName name="JUNIO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JUNIO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jvd" localSheetId="0" hidden="1">{#N/A,#N/A,TRUE,"Summary";#N/A,#N/A,TRUE,"Cash Flow";#N/A,#N/A,TRUE,"Income Statement";#N/A,#N/A,TRUE,"Balance Sheet";#N/A,#N/A,TRUE,"Sales Plan";#N/A,#N/A,TRUE,"Staffing Plan";#N/A,#N/A,TRUE,"Capital Exp Plan"}</definedName>
    <definedName name="jvd" hidden="1">{#N/A,#N/A,TRUE,"Summary";#N/A,#N/A,TRUE,"Cash Flow";#N/A,#N/A,TRUE,"Income Statement";#N/A,#N/A,TRUE,"Balance Sheet";#N/A,#N/A,TRUE,"Sales Plan";#N/A,#N/A,TRUE,"Staffing Plan";#N/A,#N/A,TRUE,"Capital Exp Plan"}</definedName>
    <definedName name="jxol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xo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y" localSheetId="0" hidden="1">{"Headcount Worksheet",#N/A,FALSE,"HEADCOUNT"}</definedName>
    <definedName name="jy" hidden="1">{"Headcount Worksheet",#N/A,FALSE,"HEADCOUNT"}</definedName>
    <definedName name="jyfng" localSheetId="0" hidden="1">{0,0,"",0}</definedName>
    <definedName name="jyfng" hidden="1">{0,0,"",0}</definedName>
    <definedName name="k.xls" localSheetId="0" hidden="1">{#N/A,#N/A,FALSE,"970301";#N/A,#N/A,FALSE,"970302";#N/A,#N/A,FALSE,"970303";#N/A,#N/A,FALSE,"970304";#N/A,#N/A,FALSE,"COM1";#N/A,#N/A,FALSE,"COM2"}</definedName>
    <definedName name="k.xls" hidden="1">{#N/A,#N/A,FALSE,"970301";#N/A,#N/A,FALSE,"970302";#N/A,#N/A,FALSE,"970303";#N/A,#N/A,FALSE,"970304";#N/A,#N/A,FALSE,"COM1";#N/A,#N/A,FALSE,"COM2"}</definedName>
    <definedName name="K2___PARKEDCVW__" hidden="1">"FINANCIALS;A=CK00100TOT;C=ACTUAL;R=LC;UA=D_TOP;E=P500231;UB=TPTOP;UC=F_FISICO;T=2004.DEC;F=PERIODIC;"</definedName>
    <definedName name="K2_ISWBINITED" hidden="1">TRUE</definedName>
    <definedName name="K2_WBEVMODE" hidden="1">-1</definedName>
    <definedName name="K2_WBHASINITMODE" hidden="1">1</definedName>
    <definedName name="K7a" hidden="1">255</definedName>
    <definedName name="kaa" hidden="1">#REF!</definedName>
    <definedName name="kajskdsa" hidden="1">#REF!</definedName>
    <definedName name="kal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sldsk" hidden="1">#REF!</definedName>
    <definedName name="kay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kay" hidden="1">{#N/A,#N/A,FALSE,"DIR-REP";#N/A,#N/A,FALSE,"AUD-REPORT";#N/A,#N/A,FALSE,"P7L&amp;BS";#N/A,#N/A,FALSE,"NOTES";#N/A,#N/A,FALSE,"FA";#N/A,#N/A,FALSE,"NOTES (2)";#N/A,#N/A,FALSE,"Schedule  IV";#N/A,#N/A,FALSE,"Schedule V"}</definedName>
    <definedName name="kbkj" localSheetId="0" hidden="1">{#N/A,#N/A,FALSE,"TAXC.INDEX";#N/A,#N/A,FALSE,"Schedule I";#N/A,#N/A,FALSE,"Schedule  II";#N/A,#N/A,FALSE,"Schedule III"}</definedName>
    <definedName name="kbkj" hidden="1">{#N/A,#N/A,FALSE,"TAXC.INDEX";#N/A,#N/A,FALSE,"Schedule I";#N/A,#N/A,FALSE,"Schedule  II";#N/A,#N/A,FALSE,"Schedule III"}</definedName>
    <definedName name="kcg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h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ch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dasfjldf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kdasfjldf" hidden="1">{#N/A,#N/A,FALSE,"DIR-REP";#N/A,#N/A,FALSE,"AUD-REPORT";#N/A,#N/A,FALSE,"P7L&amp;BS";#N/A,#N/A,FALSE,"NOTES";#N/A,#N/A,FALSE,"FA";#N/A,#N/A,FALSE,"NOTES (2)";#N/A,#N/A,FALSE,"Schedule  IV";#N/A,#N/A,FALSE,"Schedule V"}</definedName>
    <definedName name="kdi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DJD" localSheetId="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e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ke" hidden="1">{#N/A,#N/A,FALSE,"DIR-REP";#N/A,#N/A,FALSE,"AUD-REPORT";#N/A,#N/A,FALSE,"P7L&amp;BS";#N/A,#N/A,FALSE,"NOTES";#N/A,#N/A,FALSE,"FA";#N/A,#N/A,FALSE,"NOTES (2)";#N/A,#N/A,FALSE,"Schedule  IV";#N/A,#N/A,FALSE,"Schedule V"}</definedName>
    <definedName name="keidkc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keidkc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Kempshott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EOLIS" localSheetId="0" hidden="1">{#N/A,#N/A,FALSE,"Aging Summary";#N/A,#N/A,FALSE,"Ratio Analysis";#N/A,#N/A,FALSE,"Test 120 Day Accts";#N/A,#N/A,FALSE,"Tickmarks"}</definedName>
    <definedName name="KEOLIS" hidden="1">{#N/A,#N/A,FALSE,"Aging Summary";#N/A,#N/A,FALSE,"Ratio Analysis";#N/A,#N/A,FALSE,"Test 120 Day Accts";#N/A,#N/A,FALSE,"Tickmarks"}</definedName>
    <definedName name="ketsuneey" hidden="1">#REF!</definedName>
    <definedName name="key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_C1" hidden="1">#REF!</definedName>
    <definedName name="KEYY" hidden="1">#REF!</definedName>
    <definedName name="kfand" hidden="1">#REF!</definedName>
    <definedName name="kfoo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kfoo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kgkg" localSheetId="0" hidden="1">{#N/A,#N/A,FALSE,"COVER";#N/A,#N/A,FALSE,"Index";#N/A,#N/A,FALSE,"Non-Earning";#N/A,#N/A,FALSE,"Non-Earning_Recovery"}</definedName>
    <definedName name="kgkg" hidden="1">{#N/A,#N/A,FALSE,"COVER";#N/A,#N/A,FALSE,"Index";#N/A,#N/A,FALSE,"Non-Earning";#N/A,#N/A,FALSE,"Non-Earning_Recovery"}</definedName>
    <definedName name="kgkgk" localSheetId="0" hidden="1">{#N/A,#N/A,TRUE,"Cover sheet";#N/A,#N/A,TRUE,"DCF analysis";#N/A,#N/A,TRUE,"WACC calculation"}</definedName>
    <definedName name="kgkgk" hidden="1">{#N/A,#N/A,TRUE,"Cover sheet";#N/A,#N/A,TRUE,"DCF analysis";#N/A,#N/A,TRUE,"WACC calculation"}</definedName>
    <definedName name="KGKHJ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bkl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bk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g" localSheetId="0" hidden="1">{#N/A,#N/A,FALSE,"Summary";#N/A,#N/A,FALSE,"Month";#N/A,#N/A,FALSE,"YTD";#N/A,#N/A,FALSE,"Charts"}</definedName>
    <definedName name="khg" hidden="1">{#N/A,#N/A,FALSE,"Summary";#N/A,#N/A,FALSE,"Month";#N/A,#N/A,FALSE,"YTD";#N/A,#N/A,FALSE,"Charts"}</definedName>
    <definedName name="khkhukh" hidden="1">#REF!</definedName>
    <definedName name="ki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jblb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jblb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j" localSheetId="0" hidden="1">{#N/A,#N/A,FALSE,"TAXC.INDEX";#N/A,#N/A,FALSE,"Schedule I";#N/A,#N/A,FALSE,"Schedule  II";#N/A,#N/A,FALSE,"Schedule III"}</definedName>
    <definedName name="kj" hidden="1">{#N/A,#N/A,FALSE,"TAXC.INDEX";#N/A,#N/A,FALSE,"Schedule I";#N/A,#N/A,FALSE,"Schedule  II";#N/A,#N/A,FALSE,"Schedule III"}</definedName>
    <definedName name="kjdslf" localSheetId="0" hidden="1">{#N/A,#N/A,FALSE,"Sheet1"}</definedName>
    <definedName name="kjdslf" hidden="1">{#N/A,#N/A,FALSE,"Sheet1"}</definedName>
    <definedName name="kjf" hidden="1">#REF!</definedName>
    <definedName name="kjfdsa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kjfdsa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kjfkdj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lklkl" hidden="1">#REF!</definedName>
    <definedName name="kjo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s" localSheetId="0" hidden="1">{#N/A,#N/A,FALSE,"UNIT";#N/A,#N/A,FALSE,"UNIT";#N/A,#N/A,FALSE,"계정"}</definedName>
    <definedName name="kjs" hidden="1">{#N/A,#N/A,FALSE,"UNIT";#N/A,#N/A,FALSE,"UNIT";#N/A,#N/A,FALSE,"계정"}</definedName>
    <definedName name="kk_ns" localSheetId="0" hidden="1">{#N/A,#N/A,FALSE,"Bezirk SW";#N/A,#N/A,FALSE,"Dir S (GK)";#N/A,#N/A,FALSE,"Dir FR (PK)"}</definedName>
    <definedName name="kk_ns" hidden="1">{#N/A,#N/A,FALSE,"Bezirk SW";#N/A,#N/A,FALSE,"Dir S (GK)";#N/A,#N/A,FALSE,"Dir FR (PK)"}</definedName>
    <definedName name="kkk" localSheetId="0" hidden="1">{#N/A,#N/A,FALSE,"OffAdvance";#N/A,#N/A,FALSE,"OffExpRprt";#N/A,#N/A,FALSE,"Entertmnt";#N/A,#N/A,FALSE,"Promotion";#N/A,#N/A,FALSE,"Travelling"}</definedName>
    <definedName name="kkk" hidden="1">{#N/A,#N/A,FALSE,"OffAdvance";#N/A,#N/A,FALSE,"OffExpRprt";#N/A,#N/A,FALSE,"Entertmnt";#N/A,#N/A,FALSE,"Promotion";#N/A,#N/A,FALSE,"Travelling"}</definedName>
    <definedName name="kkkk" localSheetId="0" hidden="1">{#N/A,#N/A,FALSE,"GPM";#N/A,#N/A,FALSE,"CE";#N/A,#N/A,FALSE,"Heat";#N/A,#N/A,FALSE,"ResTm";#N/A,#N/A,FALSE,"BLEND$"}</definedName>
    <definedName name="kkkk" hidden="1">{#N/A,#N/A,FALSE,"GPM";#N/A,#N/A,FALSE,"CE";#N/A,#N/A,FALSE,"Heat";#N/A,#N/A,FALSE,"ResTm";#N/A,#N/A,FALSE,"BLEND$"}</definedName>
    <definedName name="kkkkk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kkkkk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kkkkkkkk" localSheetId="0" hidden="1">{#N/A,#N/A,FALSE,"Cover";"outputs total",#N/A,FALSE,"Outputs"}</definedName>
    <definedName name="kkkkkkkk" hidden="1">{#N/A,#N/A,FALSE,"Cover";"outputs total",#N/A,FALSE,"Outputs"}</definedName>
    <definedName name="kkl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kkl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kku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k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m" localSheetId="0" hidden="1">{#N/A,#N/A,FALSE,"Bezirk SW";#N/A,#N/A,FALSE,"Dir S (GK)";#N/A,#N/A,FALSE,"Dir FR (PK)"}</definedName>
    <definedName name="klm" hidden="1">{#N/A,#N/A,FALSE,"Bezirk SW";#N/A,#N/A,FALSE,"Dir S (GK)";#N/A,#N/A,FALSE,"Dir FR (PK)"}</definedName>
    <definedName name="klu" localSheetId="0" hidden="1">{"Results Worksheets",#N/A,FALSE,"RESULTS"}</definedName>
    <definedName name="klu" hidden="1">{"Results Worksheets",#N/A,FALSE,"RESULTS"}</definedName>
    <definedName name="kmh" localSheetId="0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n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n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ol" localSheetId="0" hidden="1">{"away stand alones",#N/A,FALSE,"Target"}</definedName>
    <definedName name="kol" hidden="1">{"away stand alones",#N/A,FALSE,"Target"}</definedName>
    <definedName name="ksp" localSheetId="0" hidden="1">{#N/A,#N/A,FALSE,"TAXC.INDEX";#N/A,#N/A,FALSE,"Schedule I";#N/A,#N/A,FALSE,"Schedule  II";#N/A,#N/A,FALSE,"Schedule III"}</definedName>
    <definedName name="ksp" hidden="1">{#N/A,#N/A,FALSE,"TAXC.INDEX";#N/A,#N/A,FALSE,"Schedule I";#N/A,#N/A,FALSE,"Schedule  II";#N/A,#N/A,FALSE,"Schedule III"}</definedName>
    <definedName name="kue" localSheetId="0" hidden="1">{"'Model'!$A$1:$N$53"}</definedName>
    <definedName name="kue" hidden="1">{"'Model'!$A$1:$N$53"}</definedName>
    <definedName name="kvhz" hidden="1">#REF!</definedName>
    <definedName name="ky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d.ChngCell.01." hidden="1">"x"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0</definedName>
    <definedName name="kyd.ElementType.02." hidden="1">1</definedName>
    <definedName name="kyd.ItemType.01." hidden="1">0</definedName>
    <definedName name="kyd.ItemType.02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NumLevels.01." hidden="1">0</definedName>
    <definedName name="kyd.NumLevels.02." hidden="1">999</definedName>
    <definedName name="kyd.PanicStop." hidden="1">FALSE</definedName>
    <definedName name="kyd.ParentName.01." hidden="1">""</definedName>
    <definedName name="kyd.ParentName.02." hidden="1">""</definedName>
    <definedName name="kyd.PreScreenData." hidden="1">FALSE</definedName>
    <definedName name="kyd.PrintCtrlRange." hidden="1">#REF!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SaveAsFile." hidden="1">FALSE</definedName>
    <definedName name="kyd.SelectString.01." hidden="1">""</definedName>
    <definedName name="kyd.SelectString.02." hidden="1">"*"</definedName>
    <definedName name="kyd.Shortcut." hidden="1">FALSE</definedName>
    <definedName name="kyd.StdSortHide." hidden="1">FALSE</definedName>
    <definedName name="kyd.UsePrintCtrlRange." hidden="1">TRUE</definedName>
    <definedName name="kzvj" hidden="1">#REF!</definedName>
    <definedName name="l.xls" localSheetId="0" hidden="1">{#N/A,#N/A,FALSE,"Marketing";#N/A,#N/A,FALSE,"Selling";#N/A,#N/A,FALSE,"Promotional";#N/A,#N/A,FALSE,"Advertising"}</definedName>
    <definedName name="l.xls" hidden="1">{#N/A,#N/A,FALSE,"Marketing";#N/A,#N/A,FALSE,"Selling";#N/A,#N/A,FALSE,"Promotional";#N/A,#N/A,FALSE,"Advertising"}</definedName>
    <definedName name="labeling" localSheetId="0" hidden="1">{#N/A,#N/A,FALSE,"CONFIGURATION";#N/A,#N/A,FALSE,"COLORS";#N/A,#N/A,FALSE,"CALC TOOLS-PARTS";"ALL",#N/A,FALSE,"PARTS LIST"}</definedName>
    <definedName name="labeling" hidden="1">{#N/A,#N/A,FALSE,"CONFIGURATION";#N/A,#N/A,FALSE,"COLORS";#N/A,#N/A,FALSE,"CALC TOOLS-PARTS";"ALL",#N/A,FALSE,"PARTS LIST"}</definedName>
    <definedName name="Lafarge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afarg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ajdls" hidden="1">#REF!</definedName>
    <definedName name="lala" localSheetId="0" hidden="1">{#N/A,#N/A,TRUE,"Cover sheet";#N/A,#N/A,TRUE,"DCF analysis";#N/A,#N/A,TRUE,"WACC calculation"}</definedName>
    <definedName name="lala" hidden="1">{#N/A,#N/A,TRUE,"Cover sheet";#N/A,#N/A,TRUE,"DCF analysis";#N/A,#N/A,TRUE,"WACC calculation"}</definedName>
    <definedName name="lay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dsa" hidden="1">#REF!</definedName>
    <definedName name="lf" hidden="1">#REF!</definedName>
    <definedName name="lfj" localSheetId="0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g" localSheetId="0" hidden="1">{"M7_1Print",#N/A,TRUE,"M7_1";"M7_2Print",#N/A,TRUE,"M7_2"}</definedName>
    <definedName name="lg" hidden="1">{"M7_1Print",#N/A,TRUE,"M7_1";"M7_2Print",#N/A,TRUE,"M7_2"}</definedName>
    <definedName name="LHI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HI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hl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lhl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li" localSheetId="0" hidden="1">{"Results Worksheets",#N/A,FALSE,"RESULTS"}</definedName>
    <definedName name="li" hidden="1">{"Results Worksheets",#N/A,FALSE,"RESULTS"}</definedName>
    <definedName name="LIMA" localSheetId="0" hidden="1">{"Cuenta 21 (página 1)",#N/A,FALSE,"21 (1)"}</definedName>
    <definedName name="LIMA" hidden="1">{"Cuenta 21 (página 1)",#N/A,FALSE,"21 (1)"}</definedName>
    <definedName name="limcount" hidden="1">1</definedName>
    <definedName name="lin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in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istOffset" hidden="1">1</definedName>
    <definedName name="lk" hidden="1">#REF!</definedName>
    <definedName name="lkASK" hidden="1">#REF!</definedName>
    <definedName name="lkjlklkjlkjlkj" localSheetId="0" hidden="1">{"page1",#N/A,TRUE,"CSC";"page2",#N/A,TRUE,"CSC"}</definedName>
    <definedName name="lkjlklkjlkjlkj" hidden="1">{"page1",#N/A,TRUE,"CSC";"page2",#N/A,TRUE,"CSC"}</definedName>
    <definedName name="LKJM" hidden="1">#REF!</definedName>
    <definedName name="lksvd" hidden="1">#REF!</definedName>
    <definedName name="ll" localSheetId="0" hidden="1">{#N/A,#N/A,FALSE,"Bezirk SW";#N/A,#N/A,FALSE,"Dir S (GK)";#N/A,#N/A,FALSE,"Dir FR (PK)"}</definedName>
    <definedName name="ll" hidden="1">{#N/A,#N/A,FALSE,"Bezirk SW";#N/A,#N/A,FALSE,"Dir S (GK)";#N/A,#N/A,FALSE,"Dir FR (PK)"}</definedName>
    <definedName name="ll9y" localSheetId="0" hidden="1">{#N/A,#N/A,FALSE,"FAB VENDORS";"BUD SUM",#N/A,FALSE,"BUD SUM WO TEX"}</definedName>
    <definedName name="ll9y" hidden="1">{#N/A,#N/A,FALSE,"FAB VENDORS";"BUD SUM",#N/A,FALSE,"BUD SUM WO TEX"}</definedName>
    <definedName name="llll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L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LLLLL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lllllll" localSheetId="0" hidden="1">{"revenue graph",#N/A,FALSE,"Revenue Graph"}</definedName>
    <definedName name="lllllll" hidden="1">{"revenue graph",#N/A,FALSE,"Revenue Graph"}</definedName>
    <definedName name="lllo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llo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M" hidden="1">#REF!</definedName>
    <definedName name="LOCAL_MYSQL_DATE_FORMAT" hidden="1">#N/A</definedName>
    <definedName name="LOI" localSheetId="0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tsize" localSheetId="0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lotsize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LOV_DesktopUploadPageDef_DocumentId" hidden="1">#REF!</definedName>
    <definedName name="LOV_DesktopUploadPageDef_OrgId" hidden="1">#REF!</definedName>
    <definedName name="LOV_DesktopUploadPageDef_TransactionSourceId" hidden="1">#REF!</definedName>
    <definedName name="LOV_FinGlDesktopEntryPageDef_CurrencyCode" hidden="1">#REF!</definedName>
    <definedName name="LOV_FinGlDesktopEntryPageDef_HeaderAccountingPeriodList" hidden="1">#REF!</definedName>
    <definedName name="LOV_FinGlDesktopEntryPageDef_HeaderLedgerIdList" hidden="1">#REF!</definedName>
    <definedName name="LOV_FinGlDesktopEntryPageDef_HeaderReversalPeriodList" hidden="1">#REF!</definedName>
    <definedName name="LOV_FinGlDesktopEntryPageDef_HeaderSourceList" hidden="1">#REF!</definedName>
    <definedName name="LOV_FinGlDesktopEntryPageDef_UserCurrencyConversionType" hidden="1">#REF!</definedName>
    <definedName name="LOV_oracle_apps_projects_costing_transactions_fdiupload_ui_ThirdPartyCostedTxnUploadPageDef_AccrualFlag" hidden="1">#REF!</definedName>
    <definedName name="LOV_oracle_apps_projects_costing_transactions_fdiupload_ui_ThirdPartyCostedTxnUploadPageDef_AcctRateType" hidden="1">#REF!</definedName>
    <definedName name="LOV_oracle_apps_projects_costing_transactions_fdiupload_ui_ThirdPartyCostedTxnUploadPageDef_BillableFlag" hidden="1">#REF!</definedName>
    <definedName name="LOV_oracle_apps_projects_costing_transactions_fdiupload_ui_ThirdPartyCostedTxnUploadPageDef_CapitalizableFlag" hidden="1">#REF!</definedName>
    <definedName name="LOV_oracle_apps_projects_costing_transactions_fdiupload_ui_ThirdPartyCostedTxnUploadPageDef_ConvertedFlag" hidden="1">#REF!</definedName>
    <definedName name="LOV_oracle_apps_projects_costing_transactions_fdiupload_ui_ThirdPartyCostedTxnUploadPageDef_OrgId" hidden="1">#REF!</definedName>
    <definedName name="LOV_oracle_apps_projects_costing_transactions_fdiupload_ui_ThirdPartyCostedTxnUploadPageDef_TransactionSourceId" hidden="1">#REF!</definedName>
    <definedName name="LOV_oracle_apps_projects_costing_transactions_fdiupload_ui_ThirdPartyCostedTxnUploadPageDef_UnmatchedNegativeTxnFlag" hidden="1">#REF!</definedName>
    <definedName name="LOV_oracle_apps_projects_costing_transactions_fdiupload_ui_ThirdPartyCostedTxnUploadPageDef_WorkTypeId" hidden="1">#REF!</definedName>
    <definedName name="lowsulfurdiesel" localSheetId="0" hidden="1">{"PAGE1",#N/A,FALSE,"YIELDS";"PAGE2",#N/A,FALSE,"YIELDS";"PAGE3",#N/A,FALSE,"YIELDS"}</definedName>
    <definedName name="lowsulfurdiesel" hidden="1">{"PAGE1",#N/A,FALSE,"YIELDS";"PAGE2",#N/A,FALSE,"YIELDS";"PAGE3",#N/A,FALSE,"YIELDS"}</definedName>
    <definedName name="ltm_BalanceSheet" hidden="1">#REF!</definedName>
    <definedName name="ltm_IncomeStatement" hidden="1">#REF!</definedName>
    <definedName name="lu" localSheetId="0" hidden="1">{"ssssss",#N/A,FALSE,"太原"}</definedName>
    <definedName name="lu" hidden="1">{"ssssss",#N/A,FALSE,"太原"}</definedName>
    <definedName name="lulu" localSheetId="0" hidden="1">{"ssssss",#N/A,FALSE,"太原"}</definedName>
    <definedName name="lulu" hidden="1">{"ssssss",#N/A,FALSE,"太原"}</definedName>
    <definedName name="lxf" hidden="1">#REF!</definedName>
    <definedName name="lxm" hidden="1">#REF!</definedName>
    <definedName name="lzdl" hidden="1">#REF!</definedName>
    <definedName name="m.xls" localSheetId="0" hidden="1">{#N/A,#N/A,FALSE,"OffAdvance";#N/A,#N/A,FALSE,"OffExpRprt";#N/A,#N/A,FALSE,"Travelling";#N/A,#N/A,FALSE,"Entertmnt";#N/A,#N/A,FALSE,"Promotion"}</definedName>
    <definedName name="m.xls" hidden="1">{#N/A,#N/A,FALSE,"OffAdvance";#N/A,#N/A,FALSE,"OffExpRprt";#N/A,#N/A,FALSE,"Travelling";#N/A,#N/A,FALSE,"Entertmnt";#N/A,#N/A,FALSE,"Promotion"}</definedName>
    <definedName name="M_PlaceofPath" localSheetId="0" hidden="1">"F:\KBRAU\eric\ericy_vdf.xls"</definedName>
    <definedName name="M_PlaceofPath" hidden="1">"F:\CMOTZ\excel\ati\ATI_VDF.XLS"</definedName>
    <definedName name="MANPOWER" localSheetId="0" hidden="1">{#N/A,#N/A,FALSE,"GPM";#N/A,#N/A,FALSE,"CE";#N/A,#N/A,FALSE,"Heat";#N/A,#N/A,FALSE,"ResTm";#N/A,#N/A,FALSE,"BLEND$"}</definedName>
    <definedName name="MANPOWER" hidden="1">{#N/A,#N/A,FALSE,"GPM";#N/A,#N/A,FALSE,"CE";#N/A,#N/A,FALSE,"Heat";#N/A,#N/A,FALSE,"ResTm";#N/A,#N/A,FALSE,"BLEND$"}</definedName>
    <definedName name="mark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shall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son?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aster" localSheetId="0" hidden="1">{"Full Summary",#N/A,FALSE,"Summary"}</definedName>
    <definedName name="Master" hidden="1">{"Full Summary",#N/A,FALSE,"Summary"}</definedName>
    <definedName name="Master_Phase3" localSheetId="0" hidden="1">{"Full Summary",#N/A,FALSE,"Summary"}</definedName>
    <definedName name="Master_Phase3" hidden="1">{"Full Summary",#N/A,FALSE,"Summary"}</definedName>
    <definedName name="may" localSheetId="0" hidden="1">{#N/A,#N/A,FALSE,"TAXC.INDEX";#N/A,#N/A,FALSE,"Schedule I";#N/A,#N/A,FALSE,"Schedule  II";#N/A,#N/A,FALSE,"Schedule III"}</definedName>
    <definedName name="may" hidden="1">{#N/A,#N/A,FALSE,"TAXC.INDEX";#N/A,#N/A,FALSE,"Schedule I";#N/A,#N/A,FALSE,"Schedule  II";#N/A,#N/A,FALSE,"Schedule III"}</definedName>
    <definedName name="mbnv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nv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DI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lm" localSheetId="0" hidden="1">{#N/A,#N/A,TRUE,"financial";#N/A,#N/A,TRUE,"plants"}</definedName>
    <definedName name="mdlm" hidden="1">{#N/A,#N/A,TRUE,"financial";#N/A,#N/A,TRUE,"plants"}</definedName>
    <definedName name="MerrillPrintIt" localSheetId="0" hidden="1">#REF!</definedName>
    <definedName name="MerrillPrintIt" hidden="1">#REF!</definedName>
    <definedName name="mexico" localSheetId="0" hidden="1">{#N/A,#N/A,FALSE,"Assessment";#N/A,#N/A,FALSE,"Staffing";#N/A,#N/A,FALSE,"Hires";#N/A,#N/A,FALSE,"Assumptions"}</definedName>
    <definedName name="mexico" hidden="1">{#N/A,#N/A,FALSE,"Assessment";#N/A,#N/A,FALSE,"Staffing";#N/A,#N/A,FALSE,"Hires";#N/A,#N/A,FALSE,"Assumptions"}</definedName>
    <definedName name="MGHM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" localSheetId="0" hidden="1">{#N/A,#N/A,FALSE,"Eff-SSC2"}</definedName>
    <definedName name="MH" hidden="1">{#N/A,#N/A,FALSE,"Eff-SSC2"}</definedName>
    <definedName name="mhj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dwest" localSheetId="0" hidden="1">{"FY02_Assets",#N/A,FALSE,"Fin Stmt Budget";"FY02_Liabilities",#N/A,FALSE,"Fin Stmt Budget";"FY02_Inc_Stmt",#N/A,FALSE,"Fin Stmt Budget";"FY02_SOCF",#N/A,FALSE,"Fin Stmt Budget"}</definedName>
    <definedName name="Midwest" hidden="1">{"FY02_Assets",#N/A,FALSE,"Fin Stmt Budget";"FY02_Liabilities",#N/A,FALSE,"Fin Stmt Budget";"FY02_Inc_Stmt",#N/A,FALSE,"Fin Stmt Budget";"FY02_SOCF",#N/A,FALSE,"Fin Stmt Budget"}</definedName>
    <definedName name="minute" localSheetId="0" hidden="1">{"'Eng (page2)'!$A$1:$D$52"}</definedName>
    <definedName name="minute" hidden="1">{"'Eng (page2)'!$A$1:$D$52"}</definedName>
    <definedName name="mistake" localSheetId="0" hidden="1">{"bs",#N/A,FALSE,"SCF"}</definedName>
    <definedName name="mistake" hidden="1">{"bs",#N/A,FALSE,"SCF"}</definedName>
    <definedName name="mistake1" localSheetId="0" hidden="1">{"bs",#N/A,FALSE,"SCF"}</definedName>
    <definedName name="mistake1" hidden="1">{"bs",#N/A,FALSE,"SCF"}</definedName>
    <definedName name="mkj" localSheetId="0" hidden="1">{#N/A,#N/A,TRUE,"A";#N/A,#N/A,TRUE,"B";#N/A,#N/A,TRUE,"C";#N/A,#N/A,TRUE,"D";#N/A,#N/A,TRUE,"E"}</definedName>
    <definedName name="mkj" hidden="1">{#N/A,#N/A,TRUE,"A";#N/A,#N/A,TRUE,"B";#N/A,#N/A,TRUE,"C";#N/A,#N/A,TRUE,"D";#N/A,#N/A,TRUE,"E"}</definedName>
    <definedName name="mkmk" localSheetId="0" hidden="1">{"IS",#N/A,FALSE,"IS";"RPTIS",#N/A,FALSE,"RPTIS";"STATS",#N/A,FALSE,"STATS";"CELL",#N/A,FALSE,"CELL";"BS",#N/A,FALSE,"BS"}</definedName>
    <definedName name="mkmk" hidden="1">{"IS",#N/A,FALSE,"IS";"RPTIS",#N/A,FALSE,"RPTIS";"STATS",#N/A,FALSE,"STATS";"CELL",#N/A,FALSE,"CELL";"BS",#N/A,FALSE,"BS"}</definedName>
    <definedName name="ml" hidden="1">#REF!</definedName>
    <definedName name="mm" localSheetId="0" hidden="1">{"QuarterLC",#N/A,FALSE,"LOCALwithADJ";"QuarterUSD",#N/A,FALSE,"USwithADJ"}</definedName>
    <definedName name="mm" hidden="1">{"QuarterLC",#N/A,FALSE,"LOCALwithADJ";"QuarterUSD",#N/A,FALSE,"USwithADJ"}</definedName>
    <definedName name="mmc" localSheetId="0" hidden="1">{#N/A,#N/A,FALSE,"Bezirk SW";#N/A,#N/A,FALSE,"Dir S (GK)";#N/A,#N/A,FALSE,"Dir FR (PK)"}</definedName>
    <definedName name="mmc" hidden="1">{#N/A,#N/A,FALSE,"Bezirk SW";#N/A,#N/A,FALSE,"Dir S (GK)";#N/A,#N/A,FALSE,"Dir FR (PK)"}</definedName>
    <definedName name="mmmm" localSheetId="0" hidden="1">{"Data Worksheet",#N/A,FALSE,"CAREY97"}</definedName>
    <definedName name="mmmm" hidden="1">{#N/A,#N/A,FALSE,"DIR-REP";#N/A,#N/A,FALSE,"AUD-REPORT";#N/A,#N/A,FALSE,"P7L&amp;BS";#N/A,#N/A,FALSE,"NOTES";#N/A,#N/A,FALSE,"FA";#N/A,#N/A,FALSE,"NOTES (2)";#N/A,#N/A,FALSE,"Schedule  IV";#N/A,#N/A,FALSE,"Schedule V"}</definedName>
    <definedName name="mmmmm" localSheetId="0" hidden="1">{#N/A,#N/A,TRUE,"Fiber_Optic_Cable_Input ";#N/A,#N/A,TRUE,"Specialty_Fiber_Devices_Input";#N/A,#N/A,TRUE,"Optical_Fiber_Apparatus_Input"}</definedName>
    <definedName name="mmmmm" hidden="1">{#N/A,#N/A,TRUE,"Fiber_Optic_Cable_Input ";#N/A,#N/A,TRUE,"Specialty_Fiber_Devices_Input";#N/A,#N/A,TRUE,"Optical_Fiber_Apparatus_Input"}</definedName>
    <definedName name="mmmmmm" localSheetId="0" hidden="1">{#N/A,#N/A,TRUE,"Falcons_Standalone";#N/A,#N/A,TRUE,"Target_Input";#N/A,#N/A,TRUE,"Target_Calendarized"}</definedName>
    <definedName name="mmmmmm" hidden="1">{#N/A,#N/A,TRUE,"Falcons_Standalone";#N/A,#N/A,TRUE,"Target_Input";#N/A,#N/A,TRUE,"Target_Calendarized"}</definedName>
    <definedName name="mmmmmmm" localSheetId="0" hidden="1">{#N/A,#N/A,TRUE,"FOC_Product_Assumptions"}</definedName>
    <definedName name="mmmmmmm" hidden="1">{#N/A,#N/A,TRUE,"FOC_Product_Assumptions"}</definedName>
    <definedName name="mmmmmmmhm" localSheetId="0" hidden="1">{"mgmt forecast",#N/A,FALSE,"Mgmt Forecast";"dcf table",#N/A,FALSE,"Mgmt Forecast";"sensitivity",#N/A,FALSE,"Mgmt Forecast";"table inputs",#N/A,FALSE,"Mgmt Forecast";"calculations",#N/A,FALSE,"Mgmt Forecast"}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localSheetId="0" hidden="1">{#N/A,#N/A,FALSE,"Consolidated Shipley";#N/A,#N/A,FALSE,"Consolidated PWB";#N/A,#N/A,FALSE,"Consolidated Micro"}</definedName>
    <definedName name="mmmmmmmm" hidden="1">{#N/A,#N/A,FALSE,"Consolidated Shipley";#N/A,#N/A,FALSE,"Consolidated PWB";#N/A,#N/A,FALSE,"Consolidated Micro"}</definedName>
    <definedName name="mmmmmmmmmmmm" localSheetId="0" hidden="1">{"Headcount Worksheet",#N/A,FALSE,"HEADCOUNT"}</definedName>
    <definedName name="mmmmmmmmmmmm" hidden="1">{"Headcount Worksheet",#N/A,FALSE,"HEADCOUNT"}</definedName>
    <definedName name="mn" localSheetId="0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mn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mo" localSheetId="0" hidden="1">{#N/A,#N/A,TRUE,"KEY DATA";#N/A,#N/A,TRUE,"KEY DATA Base Case";#N/A,#N/A,TRUE,"JULY";#N/A,#N/A,TRUE,"AUG";#N/A,#N/A,TRUE,"SEPT";#N/A,#N/A,TRUE,"3Q"}</definedName>
    <definedName name="mo" hidden="1">{#N/A,#N/A,TRUE,"KEY DATA";#N/A,#N/A,TRUE,"KEY DATA Base Case";#N/A,#N/A,TRUE,"JULY";#N/A,#N/A,TRUE,"AUG";#N/A,#N/A,TRUE,"SEPT";#N/A,#N/A,TRUE,"3Q"}</definedName>
    <definedName name="momo" localSheetId="0" hidden="1">{"Data Worksheet",#N/A,FALSE,"CAREY97"}</definedName>
    <definedName name="momo" hidden="1">{"Data Worksheet",#N/A,FALSE,"CAREY97"}</definedName>
    <definedName name="momom" localSheetId="0" hidden="1">{"Headcount Worksheet",#N/A,FALSE,"HEADCOUNT"}</definedName>
    <definedName name="momom" hidden="1">{"Headcount Worksheet",#N/A,FALSE,"HEADCOUNT"}</definedName>
    <definedName name="mon" localSheetId="0" hidden="1">{"Results Worksheets",#N/A,FALSE,"RESULTS"}</definedName>
    <definedName name="mon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ses" localSheetId="0" hidden="1">{"FCB_ALL",#N/A,FALSE,"FCB"}</definedName>
    <definedName name="Moses" hidden="1">{"FCB_ALL",#N/A,FALSE,"FCB"}</definedName>
    <definedName name="mov.good" localSheetId="0" hidden="1">{#N/A,#N/A,FALSE,"TAXC.INDEX";#N/A,#N/A,FALSE,"Schedule I";#N/A,#N/A,FALSE,"Schedule  II";#N/A,#N/A,FALSE,"Schedule III"}</definedName>
    <definedName name="mov.good" hidden="1">{#N/A,#N/A,FALSE,"TAXC.INDEX";#N/A,#N/A,FALSE,"Schedule I";#N/A,#N/A,FALSE,"Schedule  II";#N/A,#N/A,FALSE,"Schedule III"}</definedName>
    <definedName name="movemen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movement" hidden="1">{#N/A,#N/A,FALSE,"DIR-REP";#N/A,#N/A,FALSE,"AUD-REPORT";#N/A,#N/A,FALSE,"P7L&amp;BS";#N/A,#N/A,FALSE,"NOTES";#N/A,#N/A,FALSE,"FA";#N/A,#N/A,FALSE,"NOTES (2)";#N/A,#N/A,FALSE,"Schedule  IV";#N/A,#N/A,FALSE,"Schedule V"}</definedName>
    <definedName name="MPO" localSheetId="0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b" localSheetId="0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mrb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Muni" localSheetId="0" hidden="1">{#N/A,#N/A,FALSE,"Hypothèses"}</definedName>
    <definedName name="Muni" hidden="1">{#N/A,#N/A,FALSE,"Hypothèses"}</definedName>
    <definedName name="MX" localSheetId="0" hidden="1">{#N/A,#N/A,FALSE,"Assessment";#N/A,#N/A,FALSE,"Staffing";#N/A,#N/A,FALSE,"Hires";#N/A,#N/A,FALSE,"Assumptions"}</definedName>
    <definedName name="MX" hidden="1">{#N/A,#N/A,FALSE,"Assessment";#N/A,#N/A,FALSE,"Staffing";#N/A,#N/A,FALSE,"Hires";#N/A,#N/A,FALSE,"Assumptions"}</definedName>
    <definedName name="my" localSheetId="0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" hidden="1">#REF!</definedName>
    <definedName name="N.A." hidden="1">41150.0361574074</definedName>
    <definedName name="n\" localSheetId="0" hidden="1">{#N/A,#N/A,FALSE,"Projections";#N/A,#N/A,FALSE,"Multiples Valuation";#N/A,#N/A,FALSE,"LBO";#N/A,#N/A,FALSE,"Multiples_Sensitivity";#N/A,#N/A,FALSE,"Summary"}</definedName>
    <definedName name="n\" hidden="1">{#N/A,#N/A,FALSE,"Projections";#N/A,#N/A,FALSE,"Multiples Valuation";#N/A,#N/A,FALSE,"LBO";#N/A,#N/A,FALSE,"Multiples_Sensitivity";#N/A,#N/A,FALSE,"Summary"}</definedName>
    <definedName name="n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bgbngcc" localSheetId="0" hidden="1">{0,0,"",0}</definedName>
    <definedName name="nbgbngcc" hidden="1">{0,0,"",0}</definedName>
    <definedName name="nbvcvnbv" localSheetId="0" hidden="1">{0,0,0,0}</definedName>
    <definedName name="nbvcvnbv" hidden="1">{0,0,0,0}</definedName>
    <definedName name="NCBN" localSheetId="0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eia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eia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ew_name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bel" localSheetId="0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1" localSheetId="0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DC" localSheetId="0" hidden="1">{#N/A,#N/A,TRUE,"Cover sheet";#N/A,#N/A,TRUE,"DCF analysis";#N/A,#N/A,TRUE,"WACC calculation"}</definedName>
    <definedName name="newDC" hidden="1">{#N/A,#N/A,TRUE,"Cover sheet";#N/A,#N/A,TRUE,"DCF analysis";#N/A,#N/A,TRUE,"WACC calculation"}</definedName>
    <definedName name="newkey1" hidden="1">#REF!</definedName>
    <definedName name="NewRange" localSheetId="0" hidden="1">#REF!</definedName>
    <definedName name="NewRange" hidden="1">#REF!</definedName>
    <definedName name="NewRange2" hidden="1">#REF!</definedName>
    <definedName name="NewReserves" localSheetId="0" hidden="1">{"CSheet",#N/A,FALSE,"C";"SmCap",#N/A,FALSE,"VAL1";"GulfCoast",#N/A,FALSE,"VAL1";"nav",#N/A,FALSE,"NAV";"Summary",#N/A,FALSE,"NAV"}</definedName>
    <definedName name="NewReserves" hidden="1">{"CSheet",#N/A,FALSE,"C";"SmCap",#N/A,FALSE,"VAL1";"GulfCoast",#N/A,FALSE,"VAL1";"nav",#N/A,FALSE,"NAV";"Summary",#N/A,FALSE,"NAV"}</definedName>
    <definedName name="newsort" hidden="1">#REF!</definedName>
    <definedName name="newwrn.full" localSheetId="0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newwrn.full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newwrn.quarterly" localSheetId="0" hidden="1">{"Calenquart",#N/A,FALSE,"Remedy-model";"fiscquarter",#N/A,FALSE,"Remedy-model"}</definedName>
    <definedName name="newwrn.quarterly" hidden="1">{"Calenquart",#N/A,FALSE,"Remedy-model";"fiscquarter",#N/A,FALSE,"Remedy-model"}</definedName>
    <definedName name="ng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g_1" localSheetId="0" hidden="1">{"Refining 1",#N/A,FALSE,"Detailed cost - crude";"Refining 2",#N/A,FALSE,"Detailed cost - crude"}</definedName>
    <definedName name="ng_1" hidden="1">{"Refining 1",#N/A,FALSE,"Detailed cost - crude";"Refining 2",#N/A,FALSE,"Detailed cost - crude"}</definedName>
    <definedName name="ng_1_1" localSheetId="0" hidden="1">{"Refining 1",#N/A,FALSE,"Detailed cost - crude";"Refining 2",#N/A,FALSE,"Detailed cost - crude"}</definedName>
    <definedName name="ng_1_1" hidden="1">{"Refining 1",#N/A,FALSE,"Detailed cost - crude";"Refining 2",#N/A,FALSE,"Detailed cost - crude"}</definedName>
    <definedName name="ng_1_1_1" localSheetId="0" hidden="1">{"Refining 1",#N/A,FALSE,"Detailed cost - crude";"Refining 2",#N/A,FALSE,"Detailed cost - crude"}</definedName>
    <definedName name="ng_1_1_1" hidden="1">{"Refining 1",#N/A,FALSE,"Detailed cost - crude";"Refining 2",#N/A,FALSE,"Detailed cost - crude"}</definedName>
    <definedName name="ng_1_1_2" localSheetId="0" hidden="1">{"Refining 1",#N/A,FALSE,"Detailed cost - crude";"Refining 2",#N/A,FALSE,"Detailed cost - crude"}</definedName>
    <definedName name="ng_1_1_2" hidden="1">{"Refining 1",#N/A,FALSE,"Detailed cost - crude";"Refining 2",#N/A,FALSE,"Detailed cost - crude"}</definedName>
    <definedName name="ng_1_1_3" localSheetId="0" hidden="1">{"Refining 1",#N/A,FALSE,"Detailed cost - crude";"Refining 2",#N/A,FALSE,"Detailed cost - crude"}</definedName>
    <definedName name="ng_1_1_3" hidden="1">{"Refining 1",#N/A,FALSE,"Detailed cost - crude";"Refining 2",#N/A,FALSE,"Detailed cost - crude"}</definedName>
    <definedName name="ng_1_1_4" localSheetId="0" hidden="1">{"Refining 1",#N/A,FALSE,"Detailed cost - crude";"Refining 2",#N/A,FALSE,"Detailed cost - crude"}</definedName>
    <definedName name="ng_1_1_4" hidden="1">{"Refining 1",#N/A,FALSE,"Detailed cost - crude";"Refining 2",#N/A,FALSE,"Detailed cost - crude"}</definedName>
    <definedName name="ng_1_1_5" localSheetId="0" hidden="1">{"Refining 1",#N/A,FALSE,"Detailed cost - crude";"Refining 2",#N/A,FALSE,"Detailed cost - crude"}</definedName>
    <definedName name="ng_1_1_5" hidden="1">{"Refining 1",#N/A,FALSE,"Detailed cost - crude";"Refining 2",#N/A,FALSE,"Detailed cost - crude"}</definedName>
    <definedName name="ng_1_2" localSheetId="0" hidden="1">{"Refining 1",#N/A,FALSE,"Detailed cost - crude";"Refining 2",#N/A,FALSE,"Detailed cost - crude"}</definedName>
    <definedName name="ng_1_2" hidden="1">{"Refining 1",#N/A,FALSE,"Detailed cost - crude";"Refining 2",#N/A,FALSE,"Detailed cost - crude"}</definedName>
    <definedName name="ng_1_3" localSheetId="0" hidden="1">{"Refining 1",#N/A,FALSE,"Detailed cost - crude";"Refining 2",#N/A,FALSE,"Detailed cost - crude"}</definedName>
    <definedName name="ng_1_3" hidden="1">{"Refining 1",#N/A,FALSE,"Detailed cost - crude";"Refining 2",#N/A,FALSE,"Detailed cost - crude"}</definedName>
    <definedName name="ng_1_4" localSheetId="0" hidden="1">{"Refining 1",#N/A,FALSE,"Detailed cost - crude";"Refining 2",#N/A,FALSE,"Detailed cost - crude"}</definedName>
    <definedName name="ng_1_4" hidden="1">{"Refining 1",#N/A,FALSE,"Detailed cost - crude";"Refining 2",#N/A,FALSE,"Detailed cost - crude"}</definedName>
    <definedName name="ng_1_5" localSheetId="0" hidden="1">{"Refining 1",#N/A,FALSE,"Detailed cost - crude";"Refining 2",#N/A,FALSE,"Detailed cost - crude"}</definedName>
    <definedName name="ng_1_5" hidden="1">{"Refining 1",#N/A,FALSE,"Detailed cost - crude";"Refining 2",#N/A,FALSE,"Detailed cost - crude"}</definedName>
    <definedName name="ng_2" localSheetId="0" hidden="1">{"Refining 1",#N/A,FALSE,"Detailed cost - crude";"Refining 2",#N/A,FALSE,"Detailed cost - crude"}</definedName>
    <definedName name="ng_2" hidden="1">{"Refining 1",#N/A,FALSE,"Detailed cost - crude";"Refining 2",#N/A,FALSE,"Detailed cost - crude"}</definedName>
    <definedName name="ng_2_1" localSheetId="0" hidden="1">{"Refining 1",#N/A,FALSE,"Detailed cost - crude";"Refining 2",#N/A,FALSE,"Detailed cost - crude"}</definedName>
    <definedName name="ng_2_1" hidden="1">{"Refining 1",#N/A,FALSE,"Detailed cost - crude";"Refining 2",#N/A,FALSE,"Detailed cost - crude"}</definedName>
    <definedName name="ng_2_2" localSheetId="0" hidden="1">{"Refining 1",#N/A,FALSE,"Detailed cost - crude";"Refining 2",#N/A,FALSE,"Detailed cost - crude"}</definedName>
    <definedName name="ng_2_2" hidden="1">{"Refining 1",#N/A,FALSE,"Detailed cost - crude";"Refining 2",#N/A,FALSE,"Detailed cost - crude"}</definedName>
    <definedName name="ng_2_3" localSheetId="0" hidden="1">{"Refining 1",#N/A,FALSE,"Detailed cost - crude";"Refining 2",#N/A,FALSE,"Detailed cost - crude"}</definedName>
    <definedName name="ng_2_3" hidden="1">{"Refining 1",#N/A,FALSE,"Detailed cost - crude";"Refining 2",#N/A,FALSE,"Detailed cost - crude"}</definedName>
    <definedName name="ng_2_4" localSheetId="0" hidden="1">{"Refining 1",#N/A,FALSE,"Detailed cost - crude";"Refining 2",#N/A,FALSE,"Detailed cost - crude"}</definedName>
    <definedName name="ng_2_4" hidden="1">{"Refining 1",#N/A,FALSE,"Detailed cost - crude";"Refining 2",#N/A,FALSE,"Detailed cost - crude"}</definedName>
    <definedName name="ng_2_5" localSheetId="0" hidden="1">{"Refining 1",#N/A,FALSE,"Detailed cost - crude";"Refining 2",#N/A,FALSE,"Detailed cost - crude"}</definedName>
    <definedName name="ng_2_5" hidden="1">{"Refining 1",#N/A,FALSE,"Detailed cost - crude";"Refining 2",#N/A,FALSE,"Detailed cost - crude"}</definedName>
    <definedName name="ng_3" localSheetId="0" hidden="1">{"Refining 1",#N/A,FALSE,"Detailed cost - crude";"Refining 2",#N/A,FALSE,"Detailed cost - crude"}</definedName>
    <definedName name="ng_3" hidden="1">{"Refining 1",#N/A,FALSE,"Detailed cost - crude";"Refining 2",#N/A,FALSE,"Detailed cost - crude"}</definedName>
    <definedName name="ng_3_1" localSheetId="0" hidden="1">{"Refining 1",#N/A,FALSE,"Detailed cost - crude";"Refining 2",#N/A,FALSE,"Detailed cost - crude"}</definedName>
    <definedName name="ng_3_1" hidden="1">{"Refining 1",#N/A,FALSE,"Detailed cost - crude";"Refining 2",#N/A,FALSE,"Detailed cost - crude"}</definedName>
    <definedName name="ng_3_2" localSheetId="0" hidden="1">{"Refining 1",#N/A,FALSE,"Detailed cost - crude";"Refining 2",#N/A,FALSE,"Detailed cost - crude"}</definedName>
    <definedName name="ng_3_2" hidden="1">{"Refining 1",#N/A,FALSE,"Detailed cost - crude";"Refining 2",#N/A,FALSE,"Detailed cost - crude"}</definedName>
    <definedName name="ng_3_3" localSheetId="0" hidden="1">{"Refining 1",#N/A,FALSE,"Detailed cost - crude";"Refining 2",#N/A,FALSE,"Detailed cost - crude"}</definedName>
    <definedName name="ng_3_3" hidden="1">{"Refining 1",#N/A,FALSE,"Detailed cost - crude";"Refining 2",#N/A,FALSE,"Detailed cost - crude"}</definedName>
    <definedName name="ng_3_4" localSheetId="0" hidden="1">{"Refining 1",#N/A,FALSE,"Detailed cost - crude";"Refining 2",#N/A,FALSE,"Detailed cost - crude"}</definedName>
    <definedName name="ng_3_4" hidden="1">{"Refining 1",#N/A,FALSE,"Detailed cost - crude";"Refining 2",#N/A,FALSE,"Detailed cost - crude"}</definedName>
    <definedName name="ng_3_5" localSheetId="0" hidden="1">{"Refining 1",#N/A,FALSE,"Detailed cost - crude";"Refining 2",#N/A,FALSE,"Detailed cost - crude"}</definedName>
    <definedName name="ng_3_5" hidden="1">{"Refining 1",#N/A,FALSE,"Detailed cost - crude";"Refining 2",#N/A,FALSE,"Detailed cost - crude"}</definedName>
    <definedName name="ng_4" localSheetId="0" hidden="1">{"Refining 1",#N/A,FALSE,"Detailed cost - crude";"Refining 2",#N/A,FALSE,"Detailed cost - crude"}</definedName>
    <definedName name="ng_4" hidden="1">{"Refining 1",#N/A,FALSE,"Detailed cost - crude";"Refining 2",#N/A,FALSE,"Detailed cost - crude"}</definedName>
    <definedName name="ng_5" localSheetId="0" hidden="1">{"Refining 1",#N/A,FALSE,"Detailed cost - crude";"Refining 2",#N/A,FALSE,"Detailed cost - crude"}</definedName>
    <definedName name="ng_5" hidden="1">{"Refining 1",#N/A,FALSE,"Detailed cost - crude";"Refining 2",#N/A,FALSE,"Detailed cost - crude"}</definedName>
    <definedName name="NICHOLE" localSheetId="0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ne" hidden="1">#REF!,#REF!,#REF!,#REF!</definedName>
    <definedName name="NIO" hidden="1">203</definedName>
    <definedName name="NM" localSheetId="0" hidden="1">{#N/A,#N/A,FALSE,"970301";#N/A,#N/A,FALSE,"970302";#N/A,#N/A,FALSE,"970303";#N/A,#N/A,FALSE,"970304";#N/A,#N/A,FALSE,"COM1";#N/A,#N/A,FALSE,"COM2"}</definedName>
    <definedName name="NM" hidden="1">{#N/A,#N/A,FALSE,"970301";#N/A,#N/A,FALSE,"970302";#N/A,#N/A,FALSE,"970303";#N/A,#N/A,FALSE,"970304";#N/A,#N/A,FALSE,"COM1";#N/A,#N/A,FALSE,"COM2"}</definedName>
    <definedName name="NMCVM" localSheetId="0" hidden="1">{#N/A,#N/A,FALSE,"TABLE_1 YTD- VALUES LAST YR(2)"}</definedName>
    <definedName name="NMCVM" hidden="1">{#N/A,#N/A,FALSE,"TABLE_1 YTD- VALUES LAST YR(2)"}</definedName>
    <definedName name="nn" localSheetId="0" hidden="1">{#N/A,#N/A,FALSE,"Sheet1";#N/A,#N/A,FALSE,"Sheet2";#N/A,#N/A,FALSE,"Sheet3";#N/A,#N/A,FALSE,"Sheet4";#N/A,#N/A,FALSE,"Sheet5";#N/A,#N/A,FALSE,"Sheet6"}</definedName>
    <definedName name="nn" hidden="1">{#N/A,#N/A,FALSE,"Sheet1";#N/A,#N/A,FALSE,"Sheet2";#N/A,#N/A,FALSE,"Sheet3";#N/A,#N/A,FALSE,"Sheet4";#N/A,#N/A,FALSE,"Sheet5";#N/A,#N/A,FALSE,"Sheet6"}</definedName>
    <definedName name="ññ" localSheetId="0" hidden="1">{"P&amp;L SOLES",#N/A,FALSE,"PL REPROG";"P&amp;L ORIGINAL SOLES",#N/A,FALSE,"PL REPROG";"EXPLICATIVO LC",#N/A,FALSE,"PL EXPLICAT.";"VARIACION TRIMESTRAL LC",#N/A,FALSE,"PL VARIAC TRIM";"MONTH LC",#N/A,FALSE,"MONTH";"YTD LC",#N/A,FALSE,"YTD";"FULL YEAR LC",#N/A,FALSE,"FULL YEAR";"FORECAST SOLES",#N/A,FALSE,"FULL YEAR";"REMAINING MONTHS SOLES",#N/A,FALSE,"2DO SEMESTRE";"PRICE VARIANCE ANALYSIS",#N/A,FALSE,"PRICE VARIANCE ANALYSIS";"OPERATING INCOME ANALISYS SOLES",#N/A,FALSE,"OPER INC VAR ANALISYS";"NET INCOME ANALISYS SOLES",#N/A,FALSE,"OPER INC VAR ANALISYS";"FCF FULL YEAR SOLES",#N/A,FALSE,"FREE CASH FLOW";"FCF YTD SOLES",#N/A,FALSE,"FREE CASH FLOW";"NET FCF SOLES",#N/A,FALSE,"FREE CASH FLOW (2)";"SUSTENTO SOLES",#N/A,FALSE,"PL REPROG"}</definedName>
    <definedName name="ññ" hidden="1">{"P&amp;L SOLES",#N/A,FALSE,"PL REPROG";"P&amp;L ORIGINAL SOLES",#N/A,FALSE,"PL REPROG";"EXPLICATIVO LC",#N/A,FALSE,"PL EXPLICAT.";"VARIACION TRIMESTRAL LC",#N/A,FALSE,"PL VARIAC TRIM";"MONTH LC",#N/A,FALSE,"MONTH";"YTD LC",#N/A,FALSE,"YTD";"FULL YEAR LC",#N/A,FALSE,"FULL YEAR";"FORECAST SOLES",#N/A,FALSE,"FULL YEAR";"REMAINING MONTHS SOLES",#N/A,FALSE,"2DO SEMESTRE";"PRICE VARIANCE ANALYSIS",#N/A,FALSE,"PRICE VARIANCE ANALYSIS";"OPERATING INCOME ANALISYS SOLES",#N/A,FALSE,"OPER INC VAR ANALISYS";"NET INCOME ANALISYS SOLES",#N/A,FALSE,"OPER INC VAR ANALISYS";"FCF FULL YEAR SOLES",#N/A,FALSE,"FREE CASH FLOW";"FCF YTD SOLES",#N/A,FALSE,"FREE CASH FLOW";"NET FCF SOLES",#N/A,FALSE,"FREE CASH FLOW (2)";"SUSTENTO SOLES",#N/A,FALSE,"PL REPROG"}</definedName>
    <definedName name="nnn" localSheetId="0" hidden="1">{#N/A,#N/A,FALSE,"Consolidated Shipley";#N/A,#N/A,FALSE,"Consolidated PWB";#N/A,#N/A,FALSE,"Consolidated Micro"}</definedName>
    <definedName name="nnn" hidden="1">{#N/A,#N/A,FALSE,"Consolidated Shipley";#N/A,#N/A,FALSE,"Consolidated PWB";#N/A,#N/A,FALSE,"Consolidated Micro"}</definedName>
    <definedName name="nnnn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nnnn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nnnnn" localSheetId="0" hidden="1">{"gross_margin1",#N/A,FALSE,"Gross Margin Detail";"gross_margin2",#N/A,FALSE,"Gross Margin Detail"}</definedName>
    <definedName name="nnnnn" hidden="1">{"gross_margin1",#N/A,FALSE,"Gross Margin Detail";"gross_margin2",#N/A,FALSE,"Gross Margin Detail"}</definedName>
    <definedName name="nnnnnn" localSheetId="0" hidden="1">{"historical acquirer",#N/A,FALSE,"Historical Performance";"historical target",#N/A,FALSE,"Historical Performance"}</definedName>
    <definedName name="nnnnnn" hidden="1">{"historical acquirer",#N/A,FALSE,"Historical Performance";"historical target",#N/A,FALSE,"Historical Performance"}</definedName>
    <definedName name="no" localSheetId="0" hidden="1">{"Data Worksheet",#N/A,FALSE,"CAREY97"}</definedName>
    <definedName name="no" hidden="1">{"Data Worksheet",#N/A,FALSE,"CAREY97"}</definedName>
    <definedName name="NOBL" localSheetId="0" hidden="1">{"AQUIRORDCF",#N/A,FALSE,"Merger consequences";"Acquirorassns",#N/A,FALSE,"Merger consequences"}</definedName>
    <definedName name="NOBL" hidden="1">{"AQUIRORDCF",#N/A,FALSE,"Merger consequences";"Acquirorassns",#N/A,FALSE,"Merger consequences"}</definedName>
    <definedName name="noidea" localSheetId="0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0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t" localSheetId="0" hidden="1">{#N/A,#N/A,FALSE,"PCAP";#N/A,#N/A,FALSE,"CAPCOMMITMENTS";#N/A,#N/A,FALSE,"CUMINCSUM";#N/A,#N/A,FALSE,"PERCENTAGES";#N/A,#N/A,FALSE,"INCALLOCATIONS";#N/A,#N/A,FALSE,"distributions";#N/A,#N/A,FALSE,"subsequent event"}</definedName>
    <definedName name="not" hidden="1">{#N/A,#N/A,FALSE,"PCAP";#N/A,#N/A,FALSE,"CAPCOMMITMENTS";#N/A,#N/A,FALSE,"CUMINCSUM";#N/A,#N/A,FALSE,"PERCENTAGES";#N/A,#N/A,FALSE,"INCALLOCATIONS";#N/A,#N/A,FALSE,"distributions";#N/A,#N/A,FALSE,"subsequent event"}</definedName>
    <definedName name="Note" localSheetId="0" hidden="1">#REF!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vember" localSheetId="0" hidden="1">{#N/A,#N/A,FALSE,"AOP Summary";#N/A,#N/A,FALSE,"E.C. Reports";#N/A,#N/A,FALSE,"SADA";#N/A,#N/A,FALSE,"SADA VARIANCE";#N/A,#N/A,FALSE,"Market Share";#N/A,#N/A,FALSE,"Fisher Data"}</definedName>
    <definedName name="november" hidden="1">{#N/A,#N/A,FALSE,"AOP Summary";#N/A,#N/A,FALSE,"E.C. Reports";#N/A,#N/A,FALSE,"SADA";#N/A,#N/A,FALSE,"SADA VARIANCE";#N/A,#N/A,FALSE,"Market Share";#N/A,#N/A,FALSE,"Fisher Data"}</definedName>
    <definedName name="now" localSheetId="0" hidden="1">{"Data Worksheet",#N/A,FALSE,"CAREY97"}</definedName>
    <definedName name="now" hidden="1">{"Data Worksheet",#N/A,FALSE,"CAREY97"}</definedName>
    <definedName name="ns" localSheetId="0" hidden="1">{"bs",#N/A,FALSE,"SCF"}</definedName>
    <definedName name="ns" hidden="1">{"bs",#N/A,FALSE,"SCF"}</definedName>
    <definedName name="nu" localSheetId="0" hidden="1">{"cashflow",#N/A,FALSE,"cash flow"}</definedName>
    <definedName name="nu" hidden="1">{"cashflow",#N/A,FALSE,"cash flow"}</definedName>
    <definedName name="nubub" localSheetId="0" hidden="1">{"Headcount Worksheet",#N/A,FALSE,"HEADCOUNT"}</definedName>
    <definedName name="nubub" hidden="1">{"Headcount Worksheet",#N/A,FALSE,"HEADCOUNT"}</definedName>
    <definedName name="Nup" hidden="1">#REF!</definedName>
    <definedName name="nvkjnfv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y" localSheetId="0" hidden="1">{"Results Worksheets",#N/A,FALSE,"RESULTS"}</definedName>
    <definedName name="ny" hidden="1">{"Results Worksheets",#N/A,FALSE,"RESULTS"}</definedName>
    <definedName name="o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asda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awl" localSheetId="0" hidden="1">{#N/A,#N/A,FALSE,"TAXC.INDEX";#N/A,#N/A,FALSE,"Schedule I";#N/A,#N/A,FALSE,"Schedule  II";#N/A,#N/A,FALSE,"Schedule III"}</definedName>
    <definedName name="oawl" hidden="1">{#N/A,#N/A,FALSE,"TAXC.INDEX";#N/A,#N/A,FALSE,"Schedule I";#N/A,#N/A,FALSE,"Schedule  II";#N/A,#N/A,FALSE,"Schedule III"}</definedName>
    <definedName name="oay" localSheetId="0" hidden="1">{#N/A,#N/A,FALSE,"TAXC.INDEX";#N/A,#N/A,FALSE,"Schedule I";#N/A,#N/A,FALSE,"Schedule  II";#N/A,#N/A,FALSE,"Schedule III"}</definedName>
    <definedName name="oay" hidden="1">{#N/A,#N/A,FALSE,"TAXC.INDEX";#N/A,#N/A,FALSE,"Schedule I";#N/A,#N/A,FALSE,"Schedule  II";#N/A,#N/A,FALSE,"Schedule III"}</definedName>
    <definedName name="objd\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bjd\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clt" localSheetId="0" hidden="1">{#N/A,#N/A,FALSE,"TAXC.INDEX";#N/A,#N/A,FALSE,"Schedule I";#N/A,#N/A,FALSE,"Schedule  II";#N/A,#N/A,FALSE,"Schedule III"}</definedName>
    <definedName name="oclt" hidden="1">{#N/A,#N/A,FALSE,"TAXC.INDEX";#N/A,#N/A,FALSE,"Schedule I";#N/A,#N/A,FALSE,"Schedule  II";#N/A,#N/A,FALSE,"Schedule III"}</definedName>
    <definedName name="od" localSheetId="0" hidden="1">{"Results Worksheets",#N/A,FALSE,"RESULTS"}</definedName>
    <definedName name="od" hidden="1">{"Results Worksheets",#N/A,FALSE,"RESULTS"}</definedName>
    <definedName name="oel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oels" hidden="1">{#N/A,#N/A,FALSE,"DIR-REP";#N/A,#N/A,FALSE,"AUD-REPORT";#N/A,#N/A,FALSE,"P7L&amp;BS";#N/A,#N/A,FALSE,"NOTES";#N/A,#N/A,FALSE,"FA";#N/A,#N/A,FALSE,"NOTES (2)";#N/A,#N/A,FALSE,"Schedule  IV";#N/A,#N/A,FALSE,"Schedule V"}</definedName>
    <definedName name="ofaij" hidden="1">#REF!</definedName>
    <definedName name="ogvcl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gvc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i" localSheetId="0" hidden="1">{#N/A,#N/A,FALSE,"pop.hh";#N/A,#N/A,FALSE,"age.dist";#N/A,#N/A,FALSE,"hh.income";#N/A,#N/A,FALSE,"hh.chars"}</definedName>
    <definedName name="oi" hidden="1">{#N/A,#N/A,FALSE,"pop.hh";#N/A,#N/A,FALSE,"age.dist";#N/A,#N/A,FALSE,"hh.income";#N/A,#N/A,FALSE,"hh.chars"}</definedName>
    <definedName name="oihu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hu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pofs" hidden="1">#REF!</definedName>
    <definedName name="OKK" hidden="1">#REF!</definedName>
    <definedName name="oku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localSheetId="0" hidden="1">{#N/A,#N/A,TRUE,"OVERVIEW";#N/A,#N/A,TRUE,"ACCT919";#N/A,#N/A,TRUE,"ACCT920";#N/A,#N/A,TRUE,"MUNIS";#N/A,#N/A,TRUE,"Corp#919";#N/A,#N/A,TRUE,"IOS#919";#N/A,#N/A,TRUE,"IOS#920"}</definedName>
    <definedName name="old" hidden="1">{#N/A,#N/A,TRUE,"OVERVIEW";#N/A,#N/A,TRUE,"ACCT919";#N/A,#N/A,TRUE,"ACCT920";#N/A,#N/A,TRUE,"MUNIS";#N/A,#N/A,TRUE,"Corp#919";#N/A,#N/A,TRUE,"IOS#919";#N/A,#N/A,TRUE,"IOS#920"}</definedName>
    <definedName name="old.cashflow" localSheetId="0" hidden="1">{#N/A,#N/A,TRUE,"Cover";#N/A,#N/A,TRUE,"Inputs";#N/A,#N/A,TRUE,"Results";#N/A,#N/A,TRUE,"Stats";#N/A,#N/A,TRUE,"Capital Cost";#N/A,#N/A,TRUE,"Income Statement";#N/A,#N/A,TRUE,"Cash Flows";#N/A,#N/A,TRUE,"Selldown";#N/A,#N/A,TRUE,"BookDep";#N/A,#N/A,TRUE,"Cash Taxes";#N/A,#N/A,TRUE,"O&amp;M";#N/A,#N/A,TRUE,"Graphs";#N/A,#N/A,TRUE,"Assumptions"}</definedName>
    <definedName name="old.cashflow" hidden="1">{#N/A,#N/A,TRUE,"Cover";#N/A,#N/A,TRUE,"Inputs";#N/A,#N/A,TRUE,"Results";#N/A,#N/A,TRUE,"Stats";#N/A,#N/A,TRUE,"Capital Cost";#N/A,#N/A,TRUE,"Income Statement";#N/A,#N/A,TRUE,"Cash Flows";#N/A,#N/A,TRUE,"Selldown";#N/A,#N/A,TRUE,"BookDep";#N/A,#N/A,TRUE,"Cash Taxes";#N/A,#N/A,TRUE,"O&amp;M";#N/A,#N/A,TRUE,"Graphs";#N/A,#N/A,TRUE,"Assumptions"}</definedName>
    <definedName name="OLK" localSheetId="0" hidden="1">{"JimZhang - Personal View",#N/A,FALSE,"800230"}</definedName>
    <definedName name="OLK" hidden="1">{"JimZhang - Personal View",#N/A,FALSE,"800230"}</definedName>
    <definedName name="oll" localSheetId="0" hidden="1">{"'毛利比较'!$A$4:$P$26"}</definedName>
    <definedName name="oll" hidden="1">{"'毛利比较'!$A$4:$P$26"}</definedName>
    <definedName name="ool" localSheetId="0" hidden="1">{"Page1",#N/A,FALSE,"CompCo";"Page2",#N/A,FALSE,"CompCo"}</definedName>
    <definedName name="ool" hidden="1">{"Page1",#N/A,FALSE,"CompCo";"Page2",#N/A,FALSE,"CompCo"}</definedName>
    <definedName name="OOOOJS" hidden="1">#REF!</definedName>
    <definedName name="oooooooooooo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R" hidden="1">#REF!</definedName>
    <definedName name="oop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op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OU" localSheetId="0" hidden="1">{#N/A,#N/A,FALSE,"BS";#N/A,#N/A,FALSE,"PL_10Q";#N/A,#N/A,FALSE,"SOE";#N/A,#N/A,FALSE,"SCF"}</definedName>
    <definedName name="OOU" hidden="1">{#N/A,#N/A,FALSE,"BS";#N/A,#N/A,FALSE,"PL_10Q";#N/A,#N/A,FALSE,"SOE";#N/A,#N/A,FALSE,"SCF"}</definedName>
    <definedName name="op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p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pe" localSheetId="0" hidden="1">{#N/A,#N/A,FALSE,"AOP Summary";#N/A,#N/A,FALSE,"E.C. Reports";#N/A,#N/A,FALSE,"SADA";#N/A,#N/A,FALSE,"SADA VARIANCE";#N/A,#N/A,FALSE,"Market Share";#N/A,#N/A,FALSE,"Fisher Data"}</definedName>
    <definedName name="ope" hidden="1">{#N/A,#N/A,FALSE,"AOP Summary";#N/A,#N/A,FALSE,"E.C. Reports";#N/A,#N/A,FALSE,"SADA";#N/A,#N/A,FALSE,"SADA VARIANCE";#N/A,#N/A,FALSE,"Market Share";#N/A,#N/A,FALSE,"Fisher Data"}</definedName>
    <definedName name="opoooo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opoooo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o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e" localSheetId="0" hidden="1">{#N/A,#N/A,TRUE,"COVER";#N/A,#N/A,TRUE,"DIR";#N/A,#N/A,TRUE,"AUDIT"}</definedName>
    <definedName name="ose" hidden="1">{#N/A,#N/A,TRUE,"COVER";#N/A,#N/A,TRUE,"DIR";#N/A,#N/A,TRUE,"AUDIT"}</definedName>
    <definedName name="ostls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stl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uououiouopupo" localSheetId="0" hidden="1">{#N/A,#N/A,FALSE,"BS";#N/A,#N/A,FALSE,"PL";#N/A,#N/A,FALSE,"SOE";#N/A,#N/A,FALSE,"SCF"}</definedName>
    <definedName name="ouououiouopupo" hidden="1">{#N/A,#N/A,FALSE,"BS";#N/A,#N/A,FALSE,"PL";#N/A,#N/A,FALSE,"SOE";#N/A,#N/A,FALSE,"SCF"}</definedName>
    <definedName name="ououp0" localSheetId="0" hidden="1">{#N/A,#N/A,FALSE,"TABLE_1 YTD- VALUES LAST YR(2)"}</definedName>
    <definedName name="ououp0" hidden="1">{#N/A,#N/A,FALSE,"TABLE_1 YTD- VALUES LAST YR(2)"}</definedName>
    <definedName name="owejr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owejr" hidden="1">{#N/A,#N/A,FALSE,"DIR-REP";#N/A,#N/A,FALSE,"AUD-REPORT";#N/A,#N/A,FALSE,"P7L&amp;BS";#N/A,#N/A,FALSE,"NOTES";#N/A,#N/A,FALSE,"FA";#N/A,#N/A,FALSE,"NOTES (2)";#N/A,#N/A,FALSE,"Schedule  IV";#N/A,#N/A,FALSE,"Schedule V"}</definedName>
    <definedName name="oxcl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c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ektl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oxek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.Covenants" hidden="1">#REF!</definedName>
    <definedName name="p.Covenants_Titles" hidden="1">#REF!</definedName>
    <definedName name="p.CreditStat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ak" hidden="1">#REF!</definedName>
    <definedName name="Pal_Workbook_GUID" hidden="1">"LJ9YVKRJVQ1A1KNUG7XIT5A9"</definedName>
    <definedName name="PandL" hidden="1">#REF!</definedName>
    <definedName name="panther_wrn.test1." localSheetId="0" hidden="1">{"Income Statement",#N/A,FALSE,"CFMODEL";"Balance Sheet",#N/A,FALSE,"CFMODEL"}</definedName>
    <definedName name="panther_wrn.test1." hidden="1">{"Income Statement",#N/A,FALSE,"CFMODEL";"Balance Sheet",#N/A,FALSE,"CFMODEL"}</definedName>
    <definedName name="panther_wrn.test2." localSheetId="0" hidden="1">{"SourcesUses",#N/A,TRUE,"CFMODEL";"TransOverview",#N/A,TRUE,"CFMODEL"}</definedName>
    <definedName name="panther_wrn.test2." hidden="1">{"SourcesUses",#N/A,TRUE,"CFMODEL";"TransOverview",#N/A,TRUE,"CFMODEL"}</definedName>
    <definedName name="panther_wrn.test3." localSheetId="0" hidden="1">{"SourcesUses",#N/A,TRUE,#N/A;"TransOverview",#N/A,TRUE,"CFMODEL"}</definedName>
    <definedName name="panther_wrn.test3." hidden="1">{"SourcesUses",#N/A,TRUE,#N/A;"TransOverview",#N/A,TRUE,"CFMODEL"}</definedName>
    <definedName name="panther_wrn.test4." localSheetId="0" hidden="1">{"SourcesUses",#N/A,TRUE,"FundsFlow";"TransOverview",#N/A,TRUE,"FundsFlow"}</definedName>
    <definedName name="panther_wrn.test4." hidden="1">{"SourcesUses",#N/A,TRUE,"FundsFlow";"TransOverview",#N/A,TRUE,"FundsFlow"}</definedName>
    <definedName name="pay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able2" hidden="1">#REF!</definedName>
    <definedName name="PCA" hidden="1">"BL7FKFTY6NDALOTZZF8PFRAS6"</definedName>
    <definedName name="pcs" localSheetId="0" hidden="1">{#N/A,#N/A,FALSE,"Eff-SSC2"}</definedName>
    <definedName name="pcs" hidden="1">{#N/A,#N/A,FALSE,"Eff-SSC2"}</definedName>
    <definedName name="Pechous" localSheetId="0" hidden="1">{"FY01_Assets",#N/A,FALSE,"Fin Stmt Budget";"FY01_Liabilities",#N/A,FALSE,"Fin Stmt Budget";"FY01_Inc_Stmt",#N/A,FALSE,"Fin Stmt Budget";"FY01_SOCF",#N/A,FALSE,"Fin Stmt Budget"}</definedName>
    <definedName name="Pechous" hidden="1">{"FY01_Assets",#N/A,FALSE,"Fin Stmt Budget";"FY01_Liabilities",#N/A,FALSE,"Fin Stmt Budget";"FY01_Inc_Stmt",#N/A,FALSE,"Fin Stmt Budget";"FY01_SOCF",#N/A,FALSE,"Fin Stmt Budget"}</definedName>
    <definedName name="pedro" localSheetId="0" hidden="1">{#N/A,#N/A,FALSE,"Pedidos Abiertos"}</definedName>
    <definedName name="pedro" hidden="1">{#N/A,#N/A,FALSE,"Pedidos Abiertos"}</definedName>
    <definedName name="penn" localSheetId="0" hidden="1">{#N/A,#N/A,FALSE,"IOS#919";#N/A,#N/A,FALSE,"IOS#920";#N/A,#N/A,FALSE,"Corp#919";#N/A,#N/A,FALSE,"Corp#920 "}</definedName>
    <definedName name="penn" hidden="1">{#N/A,#N/A,FALSE,"IOS#919";#N/A,#N/A,FALSE,"IOS#920";#N/A,#N/A,FALSE,"Corp#919";#N/A,#N/A,FALSE,"Corp#920 "}</definedName>
    <definedName name="pfdoij" hidden="1">#REF!</definedName>
    <definedName name="PFSum" localSheetId="0" hidden="1">{"bs",#N/A,FALSE,"SCF"}</definedName>
    <definedName name="PFSum" hidden="1">{"bs",#N/A,FALSE,"SCF"}</definedName>
    <definedName name="PGM" hidden="1">#REF!</definedName>
    <definedName name="PinYin" hidden="1">#REF!</definedName>
    <definedName name="pionjy" localSheetId="0" hidden="1">{#N/A,#N/A,FALSE,"Summary";#N/A,#N/A,FALSE,"Month";#N/A,#N/A,FALSE,"YTD";#N/A,#N/A,FALSE,"Charts"}</definedName>
    <definedName name="pionjy" hidden="1">{#N/A,#N/A,FALSE,"Summary";#N/A,#N/A,FALSE,"Month";#N/A,#N/A,FALSE,"YTD";#N/A,#N/A,FALSE,"Charts"}</definedName>
    <definedName name="pirs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r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tch" localSheetId="0" hidden="1">{#N/A,#N/A,TRUE,"Cover sheet";#N/A,#N/A,TRUE,"INPUTS";#N/A,#N/A,TRUE,"OUTPUTS";#N/A,#N/A,TRUE,"VALUATION"}</definedName>
    <definedName name="pitch" hidden="1">{#N/A,#N/A,TRUE,"Cover sheet";#N/A,#N/A,TRUE,"INPUTS";#N/A,#N/A,TRUE,"OUTPUTS";#N/A,#N/A,TRUE,"VALUATION"}</definedName>
    <definedName name="pj" localSheetId="0" hidden="1">{#N/A,#N/A,FALSE,"Sheet1";#N/A,#N/A,FALSE,"Sheet2";#N/A,#N/A,FALSE,"Sheet3";#N/A,#N/A,FALSE,"Sheet4";#N/A,#N/A,FALSE,"Sheet5";#N/A,#N/A,FALSE,"Sheet6"}</definedName>
    <definedName name="pj" hidden="1">{#N/A,#N/A,FALSE,"Sheet1";#N/A,#N/A,FALSE,"Sheet2";#N/A,#N/A,FALSE,"Sheet3";#N/A,#N/A,FALSE,"Sheet4";#N/A,#N/A,FALSE,"Sheet5";#N/A,#N/A,FALSE,"Sheet6"}</definedName>
    <definedName name="PL2A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L2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lanning" hidden="1">#REF!</definedName>
    <definedName name="PlanVLE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y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LL" localSheetId="0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PLLL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PL汇总" localSheetId="0" hidden="1">{"JimZhang - Personal View",#N/A,FALSE,"800230"}</definedName>
    <definedName name="PL汇总" hidden="1">{"JimZhang - Personal View",#N/A,FALSE,"800230"}</definedName>
    <definedName name="pm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pmt" hidden="1">{#N/A,#N/A,FALSE,"DIR-REP";#N/A,#N/A,FALSE,"AUD-REPORT";#N/A,#N/A,FALSE,"P7L&amp;BS";#N/A,#N/A,FALSE,"NOTES";#N/A,#N/A,FALSE,"FA";#N/A,#N/A,FALSE,"NOTES (2)";#N/A,#N/A,FALSE,"Schedule  IV";#N/A,#N/A,FALSE,"Schedule V"}</definedName>
    <definedName name="poing" localSheetId="0" hidden="1">{#N/A,#N/A,FALSE,"Summary";#N/A,#N/A,FALSE,"Month";#N/A,#N/A,FALSE,"YTD";#N/A,#N/A,FALSE,"Charts"}</definedName>
    <definedName name="poing" hidden="1">{#N/A,#N/A,FALSE,"Summary";#N/A,#N/A,FALSE,"Month";#N/A,#N/A,FALSE,"YTD";#N/A,#N/A,FALSE,"Charts"}</definedName>
    <definedName name="pom" hidden="1">#REF!</definedName>
    <definedName name="PONL" localSheetId="0" hidden="1">{#N/A,#N/A,TRUE,"Cover sheet";#N/A,#N/A,TRUE,"INPUTS";#N/A,#N/A,TRUE,"OUTPUTS";#N/A,#N/A,TRUE,"VALUATION"}</definedName>
    <definedName name="PONL" hidden="1">{#N/A,#N/A,TRUE,"Cover sheet";#N/A,#N/A,TRUE,"INPUTS";#N/A,#N/A,TRUE,"OUTPUTS";#N/A,#N/A,TRUE,"VALUATION"}</definedName>
    <definedName name="poso_wrn.test1." localSheetId="0" hidden="1">{"Income Statement",#N/A,FALSE,"CFMODEL";"Balance Sheet",#N/A,FALSE,"CFMODEL"}</definedName>
    <definedName name="poso_wrn.test1." hidden="1">{"Income Statement",#N/A,FALSE,"CFMODEL";"Balance Sheet",#N/A,FALSE,"CFMODEL"}</definedName>
    <definedName name="poso_wrn.test2." localSheetId="0" hidden="1">{"SourcesUses",#N/A,TRUE,"CFMODEL";"TransOverview",#N/A,TRUE,"CFMODEL"}</definedName>
    <definedName name="poso_wrn.test2." hidden="1">{"SourcesUses",#N/A,TRUE,"CFMODEL";"TransOverview",#N/A,TRUE,"CFMODEL"}</definedName>
    <definedName name="poso_wrn.test3." localSheetId="0" hidden="1">{"SourcesUses",#N/A,TRUE,#N/A;"TransOverview",#N/A,TRUE,"CFMODEL"}</definedName>
    <definedName name="poso_wrn.test3." hidden="1">{"SourcesUses",#N/A,TRUE,#N/A;"TransOverview",#N/A,TRUE,"CFMODEL"}</definedName>
    <definedName name="poso_wrn.test4." localSheetId="0" hidden="1">{"SourcesUses",#N/A,TRUE,"FundsFlow";"TransOverview",#N/A,TRUE,"FundsFlow"}</definedName>
    <definedName name="poso_wrn.test4." hidden="1">{"SourcesUses",#N/A,TRUE,"FundsFlow";"TransOverview",#N/A,TRUE,"FundsFlow"}</definedName>
    <definedName name="ppoi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oi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p" localSheetId="0" hidden="1">{#N/A,#N/A,FALSE,"FAB VENDORS";"BUD SUM",#N/A,FALSE,"BUD SUM WO TEX"}</definedName>
    <definedName name="ppp" hidden="1">{#N/A,#N/A,FALSE,"FAB VENDORS";"BUD SUM",#N/A,FALSE,"BUD SUM WO TEX"}</definedName>
    <definedName name="pppooiu" localSheetId="0" hidden="1">{"en_tete",#N/A,FALSE,"Index";"vue",#N/A,FALSE,"P.-0";#N/A,#N/A,FALSE,"P.-1";#N/A,#N/A,FALSE,"P.- 2a";#N/A,#N/A,FALSE,"P.- 3";#N/A,#N/A,FALSE,"P.- 4";#N/A,#N/A,FALSE,"B.-4b";#N/A,#N/A,FALSE,"B.-8"}</definedName>
    <definedName name="pppooiu" hidden="1">{"en_tete",#N/A,FALSE,"Index";"vue",#N/A,FALSE,"P.-0";#N/A,#N/A,FALSE,"P.-1";#N/A,#N/A,FALSE,"P.- 2a";#N/A,#N/A,FALSE,"P.- 3";#N/A,#N/A,FALSE,"P.- 4";#N/A,#N/A,FALSE,"B.-4b";#N/A,#N/A,FALSE,"B.-8"}</definedName>
    <definedName name="PPPP" localSheetId="0" hidden="1">{#N/A,#N/A,FALSE,"Detail";#N/A,#N/A,FALSE,"%s";#N/A,#N/A,FALSE,"Fund I";#N/A,#N/A,FALSE,"Fund II ";#N/A,#N/A,FALSE,"Fund III";#N/A,#N/A,FALSE,"public companies"}</definedName>
    <definedName name="PPPP" hidden="1">{#N/A,#N/A,FALSE,"Detail";#N/A,#N/A,FALSE,"%s";#N/A,#N/A,FALSE,"Fund I";#N/A,#N/A,FALSE,"Fund II ";#N/A,#N/A,FALSE,"Fund III";#N/A,#N/A,FALSE,"public companies"}</definedName>
    <definedName name="ppppna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ppn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S" localSheetId="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PPS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PRA_Val_Matrix" localSheetId="0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epaymen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paymen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eRange" localSheetId="0" hidden="1">OFFSET(#REF!,5,0,COUNTA(#REF!)-COUNTA(#REF!),1)</definedName>
    <definedName name="PriceRange" hidden="1">OFFSET(#REF!,5,0,COUNTA(#REF!)-COUNTA(#REF!),1)</definedName>
    <definedName name="PriceRangeMain" hidden="1">#REF!</definedName>
    <definedName name="prin" localSheetId="0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prin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Print_1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_xlnm.Print_Area" hidden="1">#REF!</definedName>
    <definedName name="Print_CSC_Report_2" localSheetId="0" hidden="1">{"CSC_1",#N/A,FALSE,"CSC Outputs";"CSC_2",#N/A,FALSE,"CSC Outputs"}</definedName>
    <definedName name="Print_CSC_Report_2" hidden="1">{"CSC_1",#N/A,FALSE,"CSC Outputs";"CSC_2",#N/A,FALSE,"CSC Outputs"}</definedName>
    <definedName name="Print_CSC_Report_3" localSheetId="0" hidden="1">{"CSC_1",#N/A,FALSE,"CSC Outputs";"CSC_2",#N/A,FALSE,"CSC Outputs"}</definedName>
    <definedName name="Print_CSC_Report_3" hidden="1">{"CSC_1",#N/A,FALSE,"CSC Outputs";"CSC_2",#N/A,FALSE,"CSC Outputs"}</definedName>
    <definedName name="print4" localSheetId="0" hidden="1">{#N/A,#N/A,FALSE,"Operations";#N/A,#N/A,FALSE,"Financials"}</definedName>
    <definedName name="print4" hidden="1">{#N/A,#N/A,FALSE,"Operations";#N/A,#N/A,FALSE,"Financials"}</definedName>
    <definedName name="printland" localSheetId="0" hidden="1">{#N/A,#N/A,FALSE,"COST";#N/A,#N/A,FALSE,"INCOME";#N/A,#N/A,FALSE,"INTEREST";#N/A,#N/A,FALSE,"TAX &amp; CAM"}</definedName>
    <definedName name="printland" hidden="1">{#N/A,#N/A,FALSE,"COST";#N/A,#N/A,FALSE,"INCOME";#N/A,#N/A,FALSE,"INTEREST";#N/A,#N/A,FALSE,"TAX &amp; CAM"}</definedName>
    <definedName name="PRITN" localSheetId="0" hidden="1">{#N/A,#N/A,FALSE,"COST";#N/A,#N/A,FALSE,"INCOME";#N/A,#N/A,FALSE,"INTEREST";#N/A,#N/A,FALSE,"TAX &amp; CAM"}</definedName>
    <definedName name="PRITN" hidden="1">{#N/A,#N/A,FALSE,"COST";#N/A,#N/A,FALSE,"INCOME";#N/A,#N/A,FALSE,"INTEREST";#N/A,#N/A,FALSE,"TAX &amp; CAM"}</definedName>
    <definedName name="Prob" localSheetId="0" hidden="1">{"EPS and CF",#N/A,FALSE;"Ops and Stats",#N/A,FALSE}</definedName>
    <definedName name="Prob" hidden="1">{"EPS and CF",#N/A,FALSE;"Ops and Stats",#N/A,FALSE}</definedName>
    <definedName name="Prof" hidden="1">#REF!</definedName>
    <definedName name="Proforma" localSheetId="0" hidden="1">{"Print Summary",#N/A,FALSE,"Summary Analysis";"Print FCF",#N/A,FALSE,"FCF Analysis";"Print Sensitivity",#N/A,FALSE,"Sensitivity Analysis";"Print NAV",#N/A,FALSE,"NAV Analysis";"Print Credit",#N/A,FALSE,"Credit Analysis"}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g" hidden="1">#REF!</definedName>
    <definedName name="progress" hidden="1">#REF!</definedName>
    <definedName name="prolinks_30ca0783636241b4af26d2c3de8f5993" hidden="1">#REF!</definedName>
    <definedName name="prolinks_3d8a97becdd146f7865beaff6e40141a" hidden="1">#REF!</definedName>
    <definedName name="prout" localSheetId="0" hidden="1">{"comp1",#N/A,FALSE,"COMPS";"footnotes",#N/A,FALSE,"COMPS"}</definedName>
    <definedName name="prout" hidden="1">{"comp1",#N/A,FALSE,"COMPS";"footnotes",#N/A,FALSE,"COMPS"}</definedName>
    <definedName name="ptich" localSheetId="0" hidden="1">{#N/A,#N/A,TRUE,"Cover sheet";#N/A,#N/A,TRUE,"INPUTS";#N/A,#N/A,TRUE,"OUTPUTS";#N/A,#N/A,TRUE,"VALUATION"}</definedName>
    <definedName name="ptich" hidden="1">{#N/A,#N/A,TRUE,"Cover sheet";#N/A,#N/A,TRUE,"INPUTS";#N/A,#N/A,TRUE,"OUTPUTS";#N/A,#N/A,TRUE,"VALUATION"}</definedName>
    <definedName name="pu" localSheetId="0" hidden="1">{"'Sell_Office'!$C$5:$D$6"}</definedName>
    <definedName name="pu" hidden="1">{"'Sell_Office'!$C$5:$D$6"}</definedName>
    <definedName name="PUB_FileID" hidden="1">"N10005525.xls"</definedName>
    <definedName name="PUB_UserID" localSheetId="0" hidden="1">"MAYERX"</definedName>
    <definedName name="PUB_UserID" hidden="1">"ZITHAR"</definedName>
    <definedName name="pu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u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wa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pw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q2we" localSheetId="0" hidden="1">{#N/A,#N/A,FALSE,"SUMMARY";#N/A,#N/A,FALSE,"DETAIL";#N/A,#N/A,FALSE,"VARIANCE"}</definedName>
    <definedName name="q2we" hidden="1">{#N/A,#N/A,FALSE,"SUMMARY";#N/A,#N/A,FALSE,"DETAIL";#N/A,#N/A,FALSE,"VARIANCE"}</definedName>
    <definedName name="QA" localSheetId="0" hidden="1">{"conso",#N/A,FALSE,"cash flow"}</definedName>
    <definedName name="QA" hidden="1">{"conso",#N/A,FALSE,"cash flow"}</definedName>
    <definedName name="qaecdaze" localSheetId="0" hidden="1">{"First Page",#N/A,FALSE,"Surfactants LBO";"Second Page",#N/A,FALSE,"Surfactants LBO"}</definedName>
    <definedName name="qaecdaze" hidden="1">{"First Page",#N/A,FALSE,"Surfactants LBO";"Second Page",#N/A,FALSE,"Surfactants LBO"}</definedName>
    <definedName name="qaewqrwf" localSheetId="0" hidden="1">{"M6Print",#N/A,FALSE,"M6";"M6_1Print",#N/A,FALSE,"M6_1";"M6_2Print",#N/A,FALSE,"M6_2"}</definedName>
    <definedName name="qaewqrwf" hidden="1">{"M6Print",#N/A,FALSE,"M6";"M6_1Print",#N/A,FALSE,"M6_1";"M6_2Print",#N/A,FALSE,"M6_2"}</definedName>
    <definedName name="qawerhqreh" hidden="1">#REF!</definedName>
    <definedName name="qcis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qcis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qde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d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localSheetId="0" hidden="1">{"cashflow",#N/A,FALSE,"cash flow"}</definedName>
    <definedName name="QE" hidden="1">{"cashflow",#N/A,FALSE,"cash flow"}</definedName>
    <definedName name="qed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qed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qee" localSheetId="0" hidden="1">{"M7_1Print",#N/A,TRUE,"M7_1";"M7_2Print",#N/A,TRUE,"M7_2"}</definedName>
    <definedName name="qee" hidden="1">{"M7_1Print",#N/A,TRUE,"M7_1";"M7_2Print",#N/A,TRUE,"M7_2"}</definedName>
    <definedName name="qegeg" hidden="1">#REF!</definedName>
    <definedName name="QEQWEWEWEWEWE" localSheetId="0" hidden="1">{"ssssss",#N/A,FALSE,"太原"}</definedName>
    <definedName name="QEQWEWEWEWEWE" hidden="1">{"ssssss",#N/A,FALSE,"太原"}</definedName>
    <definedName name="qer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qer" hidden="1">{#N/A,#N/A,FALSE,"DIR-REP";#N/A,#N/A,FALSE,"AUD-REPORT";#N/A,#N/A,FALSE,"P7L&amp;BS";#N/A,#N/A,FALSE,"NOTES";#N/A,#N/A,FALSE,"FA";#N/A,#N/A,FALSE,"NOTES (2)";#N/A,#N/A,FALSE,"Schedule  IV";#N/A,#N/A,FALSE,"Schedule V"}</definedName>
    <definedName name="qerherhrh" hidden="1">#REF!</definedName>
    <definedName name="qew" localSheetId="0" hidden="1">{#N/A,#N/A,FALSE,"OffAdvance";#N/A,#N/A,FALSE,"OffExpRprt";#N/A,#N/A,FALSE,"Travelling";#N/A,#N/A,FALSE,"Entertmnt";#N/A,#N/A,FALSE,"Promotion"}</definedName>
    <definedName name="qew" hidden="1">{#N/A,#N/A,FALSE,"OffAdvance";#N/A,#N/A,FALSE,"OffExpRprt";#N/A,#N/A,FALSE,"Travelling";#N/A,#N/A,FALSE,"Entertmnt";#N/A,#N/A,FALSE,"Promotion"}</definedName>
    <definedName name="qewe" localSheetId="0" hidden="1">{"M1sPrint",#N/A,FALSE,"M1s"}</definedName>
    <definedName name="qewe" hidden="1">{"M1sPrint",#N/A,FALSE,"M1s"}</definedName>
    <definedName name="qf" localSheetId="0" hidden="1">{#N/A,#N/A,TRUE,"Cover sheet";#N/A,#N/A,TRUE,"INPUTS";#N/A,#N/A,TRUE,"OUTPUTS";#N/A,#N/A,TRUE,"VALUATION"}</definedName>
    <definedName name="qf" hidden="1">{#N/A,#N/A,TRUE,"Cover sheet";#N/A,#N/A,TRUE,"INPUTS";#N/A,#N/A,TRUE,"OUTPUTS";#N/A,#N/A,TRUE,"VALUATION"}</definedName>
    <definedName name="qgg" localSheetId="0" hidden="1">{#N/A,#N/A,FALSE,"Cover";"outputs total",#N/A,FALSE,"Outputs"}</definedName>
    <definedName name="qgg" hidden="1">{#N/A,#N/A,FALSE,"Cover";"outputs total",#N/A,FALSE,"Outputs"}</definedName>
    <definedName name="qq" hidden="1">#REF!</definedName>
    <definedName name="qqqq.q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qqq" hidden="1">#REF!</definedName>
    <definedName name="qqqqqqqqqqqq" localSheetId="0" hidden="1">{"M7_1Print",#N/A,TRUE,"M7_1";"M7_2Print",#N/A,TRUE,"M7_2"}</definedName>
    <definedName name="qqqqqqqqqqqq" hidden="1">{"M7_1Print",#N/A,TRUE,"M7_1";"M7_2Print",#N/A,TRUE,"M7_2"}</definedName>
    <definedName name="qqqqqqqqqqqqqqqqqq" localSheetId="0" hidden="1">{"Area1",#N/A,FALSE,"OREWACC";"Area2",#N/A,FALSE,"OREWACC"}</definedName>
    <definedName name="qqqqqqqqqqqqqqqqqq" hidden="1">#REF!</definedName>
    <definedName name="qre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cfaq" localSheetId="0" hidden="1">{"First Page",#N/A,FALSE,"Surfactants LBO";"Second Page",#N/A,FALSE,"Surfactants LBO"}</definedName>
    <definedName name="qscfaq" hidden="1">{"First Page",#N/A,FALSE,"Surfactants LBO";"Second Page",#N/A,FALSE,"Surfactants LBO"}</definedName>
    <definedName name="qsd" localSheetId="0" hidden="1">{#N/A,#N/A,TRUE,"Cover sheet";#N/A,#N/A,TRUE,"DCF analysis";#N/A,#N/A,TRUE,"WACC calculation"}</definedName>
    <definedName name="qsd" hidden="1">{#N/A,#N/A,TRUE,"Cover sheet";#N/A,#N/A,TRUE,"DCF analysis";#N/A,#N/A,TRUE,"WACC calculation"}</definedName>
    <definedName name="qsdjlgzerg" localSheetId="0" hidden="1">{#N/A,#N/A,TRUE,"Cover sheet";#N/A,#N/A,TRUE,"DCF analysis";#N/A,#N/A,TRUE,"WACC calculation"}</definedName>
    <definedName name="qsdjlgzerg" hidden="1">{#N/A,#N/A,TRUE,"Cover sheet";#N/A,#N/A,TRUE,"DCF analysis";#N/A,#N/A,TRUE,"WACC calculation"}</definedName>
    <definedName name="qsdvsv" hidden="1">#REF!</definedName>
    <definedName name="qsfd" localSheetId="0" hidden="1">{#N/A,#N/A,TRUE,"Cover sheet";#N/A,#N/A,TRUE,"INPUTS";#N/A,#N/A,TRUE,"OUTPUTS";#N/A,#N/A,TRUE,"VALUATION"}</definedName>
    <definedName name="qsfd" hidden="1">{#N/A,#N/A,TRUE,"Cover sheet";#N/A,#N/A,TRUE,"INPUTS";#N/A,#N/A,TRUE,"OUTPUTS";#N/A,#N/A,TRUE,"VALUATION"}</definedName>
    <definedName name="qsq" localSheetId="0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qsq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qty" localSheetId="0" hidden="1">{#N/A,#N/A,TRUE,"COVER";#N/A,#N/A,TRUE,"DIR";#N/A,#N/A,TRUE,"AUDIT"}</definedName>
    <definedName name="qty" hidden="1">{#N/A,#N/A,TRUE,"COVER";#N/A,#N/A,TRUE,"DIR";#N/A,#N/A,TRUE,"AUDIT"}</definedName>
    <definedName name="Quarterly" localSheetId="0" hidden="1">{"Annual",#N/A,FALSE,"Sales &amp; Market";"Quarterly",#N/A,FALSE,"Sales &amp; Market"}</definedName>
    <definedName name="Quarterly" hidden="1">{"Annual",#N/A,FALSE,"Sales &amp; Market";"Quarterly",#N/A,FALSE,"Sales &amp; Market"}</definedName>
    <definedName name="quarterly1" localSheetId="0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o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tp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qutp" hidden="1">{#N/A,#N/A,FALSE,"DIR-REP";#N/A,#N/A,FALSE,"AUD-REPORT";#N/A,#N/A,FALSE,"P7L&amp;BS";#N/A,#N/A,FALSE,"NOTES";#N/A,#N/A,FALSE,"FA";#N/A,#N/A,FALSE,"NOTES (2)";#N/A,#N/A,FALSE,"Schedule  IV";#N/A,#N/A,FALSE,"Schedule V"}</definedName>
    <definedName name="qwe" localSheetId="0" hidden="1">{#N/A,#N/A,FALSE,"FAB VENDORS";"BUD SUM",#N/A,FALSE,"BUD SUM WO TEX"}</definedName>
    <definedName name="qwe" hidden="1">{#N/A,#N/A,FALSE,"FAB VENDORS";"BUD SUM",#N/A,FALSE,"BUD SUM WO TEX"}</definedName>
    <definedName name="qwefas" localSheetId="0" hidden="1">{"Income Stmt",#N/A,FALSE,"Model"}</definedName>
    <definedName name="qwefas" hidden="1">{"Income Stmt",#N/A,FALSE,"Model"}</definedName>
    <definedName name="qweqweqwqw" hidden="1">#REF!</definedName>
    <definedName name="qweqwsd" localSheetId="0" hidden="1">{#N/A,#N/A,FALSE,"M1s Board";#N/A,#N/A,FALSE,"M3 Board";#N/A,#N/A,FALSE,"M6 Board";#N/A,#N/A,FALSE,"M7";#N/A,#N/A,FALSE,"M7B";#N/A,#N/A,FALSE,"M8";#N/A,#N/A,FALSE,"M8A Board";#N/A,#N/A,FALSE,"AF1 Board"}</definedName>
    <definedName name="qweqwsd" hidden="1">{#N/A,#N/A,FALSE,"M1s Board";#N/A,#N/A,FALSE,"M3 Board";#N/A,#N/A,FALSE,"M6 Board";#N/A,#N/A,FALSE,"M7";#N/A,#N/A,FALSE,"M7B";#N/A,#N/A,FALSE,"M8";#N/A,#N/A,FALSE,"M8A Board";#N/A,#N/A,FALSE,"AF1 Board"}</definedName>
    <definedName name="qwer23r3r23r" localSheetId="0" hidden="1">{"GuVGmbH",#N/A,FALSE,"ratios";"BilanzGmbH",#N/A,FALSE,"ratios";"BilanzKG",#N/A,FALSE,"ratios";"GuVKG",#N/A,FALSE,"ratios"}</definedName>
    <definedName name="qwer23r3r23r" hidden="1">{"GuVGmbH",#N/A,FALSE,"ratios";"BilanzGmbH",#N/A,FALSE,"ratios";"BilanzKG",#N/A,FALSE,"ratios";"GuVKG",#N/A,FALSE,"ratios"}</definedName>
    <definedName name="qwerqew" localSheetId="0" hidden="1">{"mgmt forecast",#N/A,FALSE,"Mgmt Forecast";"dcf table",#N/A,FALSE,"Mgmt Forecast";"sensitivity",#N/A,FALSE,"Mgmt Forecast";"table inputs",#N/A,FALSE,"Mgmt Forecast";"calculations",#N/A,FALSE,"Mgmt Forecast"}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erqwe" localSheetId="0" hidden="1">{"orixcsc",#N/A,FALSE,"ORIX CSC";"orixcsc2",#N/A,FALSE,"ORIX CSC"}</definedName>
    <definedName name="qwerqwerqwe" hidden="1">{"orixcsc",#N/A,FALSE,"ORIX CSC";"orixcsc2",#N/A,FALSE,"ORIX CSC"}</definedName>
    <definedName name="qwert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y" localSheetId="0" hidden="1">{#N/A,#N/A,TRUE,"FOC_Product_Assumptions"}</definedName>
    <definedName name="qwerty" hidden="1">{#N/A,#N/A,TRUE,"FOC_Product_Assumptions"}</definedName>
    <definedName name="qwet" localSheetId="0" hidden="1">{#N/A,#N/A,FALSE,"Summary";#N/A,#N/A,FALSE,"Month";#N/A,#N/A,FALSE,"YTD";#N/A,#N/A,FALSE,"Charts"}</definedName>
    <definedName name="qwet" hidden="1">{#N/A,#N/A,FALSE,"Summary";#N/A,#N/A,FALSE,"Month";#N/A,#N/A,FALSE,"YTD";#N/A,#N/A,FALSE,"Charts"}</definedName>
    <definedName name="qwhrqh" hidden="1">#REF!</definedName>
    <definedName name="qwq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w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wqwqewd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qwqew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rq23r3r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rq23r3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rwq" localSheetId="0" hidden="1">{#N/A,#N/A,FALSE,"AOP Summary";#N/A,#N/A,FALSE,"E.C. Reports";#N/A,#N/A,FALSE,"SADA";#N/A,#N/A,FALSE,"SADA VARIANCE";#N/A,#N/A,FALSE,"Market Share";#N/A,#N/A,FALSE,"Fisher Data"}</definedName>
    <definedName name="qwrwq" hidden="1">{#N/A,#N/A,FALSE,"AOP Summary";#N/A,#N/A,FALSE,"E.C. Reports";#N/A,#N/A,FALSE,"SADA";#N/A,#N/A,FALSE,"SADA VARIANCE";#N/A,#N/A,FALSE,"Market Share";#N/A,#N/A,FALSE,"Fisher Data"}</definedName>
    <definedName name="qwwre" localSheetId="0" hidden="1">{"M4Print",#N/A,FALSE,"M4"}</definedName>
    <definedName name="qwwre" hidden="1">{"M4Print",#N/A,FALSE,"M4"}</definedName>
    <definedName name="qwy" localSheetId="0" hidden="1">{#N/A,#N/A,FALSE,"Summary";#N/A,#N/A,FALSE,"Month";#N/A,#N/A,FALSE,"YTD";#N/A,#N/A,FALSE,"Charts"}</definedName>
    <definedName name="qwy" hidden="1">{#N/A,#N/A,FALSE,"Summary";#N/A,#N/A,FALSE,"Month";#N/A,#N/A,FALSE,"YTD";#N/A,#N/A,FALSE,"Charts"}</definedName>
    <definedName name="qy" localSheetId="0" hidden="1">{#N/A,#N/A,FALSE,"Summary";#N/A,#N/A,FALSE,"Month";#N/A,#N/A,FALSE,"YTD";#N/A,#N/A,FALSE,"Charts"}</definedName>
    <definedName name="qy" hidden="1">{#N/A,#N/A,FALSE,"Summary";#N/A,#N/A,FALSE,"Month";#N/A,#N/A,FALSE,"YTD";#N/A,#N/A,FALSE,"Charts"}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ngeChange" hidden="1">#N/A</definedName>
    <definedName name="ray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ccc" localSheetId="0" hidden="1">{#N/A,#N/A,FALSE,"Fin'l Stmts";#N/A,#N/A,FALSE,"Inc Alloc";#N/A,#N/A,FALSE,"PCA";#N/A,#N/A,FALSE,"Acct. Pay";#N/A,#N/A,FALSE,"Expense";#N/A,#N/A,FALSE,"Mgt Fee";#N/A,#N/A,FALSE,"Org Exp";#N/A,#N/A,FALSE,"NV INTEREST"}</definedName>
    <definedName name="rccc" hidden="1">{#N/A,#N/A,FALSE,"Fin'l Stmts";#N/A,#N/A,FALSE,"Inc Alloc";#N/A,#N/A,FALSE,"PCA";#N/A,#N/A,FALSE,"Acct. Pay";#N/A,#N/A,FALSE,"Expense";#N/A,#N/A,FALSE,"Mgt Fee";#N/A,#N/A,FALSE,"Org Exp";#N/A,#N/A,FALSE,"NV INTEREST"}</definedName>
    <definedName name="RDES" hidden="1">#REF!</definedName>
    <definedName name="recon42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recon42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recon42a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recon42a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Recona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Recona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RECONAA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RECONAA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Recorder" localSheetId="0" hidden="1">#REF!</definedName>
    <definedName name="recycle" localSheetId="0" hidden="1">{#N/A,#N/A,FALSE,"Summary";#N/A,#N/A,FALSE,"Month";#N/A,#N/A,FALSE,"YTD";#N/A,#N/A,FALSE,"Charts"}</definedName>
    <definedName name="recycle" hidden="1">{#N/A,#N/A,FALSE,"Summary";#N/A,#N/A,FALSE,"Month";#N/A,#N/A,FALSE,"YTD";#N/A,#N/A,FALSE,"Charts"}</definedName>
    <definedName name="recycling" localSheetId="0" hidden="1">{#N/A,#N/A,FALSE,"AOP Summary";#N/A,#N/A,FALSE,"E.C. Reports";#N/A,#N/A,FALSE,"SADA";#N/A,#N/A,FALSE,"SADA VARIANCE";#N/A,#N/A,FALSE,"Market Share";#N/A,#N/A,FALSE,"Fisher Data"}</definedName>
    <definedName name="recycling" hidden="1">{#N/A,#N/A,FALSE,"AOP Summary";#N/A,#N/A,FALSE,"E.C. Reports";#N/A,#N/A,FALSE,"SADA";#N/A,#N/A,FALSE,"SADA VARIANCE";#N/A,#N/A,FALSE,"Market Share";#N/A,#N/A,FALSE,"Fisher Data"}</definedName>
    <definedName name="RedefinePrintTableRange" localSheetId="0" hidden="1">#REF!</definedName>
    <definedName name="RedefinePrintTableRange" hidden="1">#REF!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move" localSheetId="0" hidden="1">{"bs",#N/A,FALSE,"SCF"}</definedName>
    <definedName name="remove" hidden="1">{"bs",#N/A,FALSE,"SCF"}</definedName>
    <definedName name="remove2" localSheetId="0" hidden="1">{"bs",#N/A,FALSE,"SCF"}</definedName>
    <definedName name="remove2" hidden="1">{"bs",#N/A,FALSE,"SCF"}</definedName>
    <definedName name="remove3" localSheetId="0" hidden="1">{"bs",#N/A,FALSE,"SCF"}</definedName>
    <definedName name="remove3" hidden="1">{"bs",#N/A,FALSE,"SCF"}</definedName>
    <definedName name="rename_of_wrn.CSC" localSheetId="0" hidden="1">{"page1",#N/A,TRUE,"CSC";"page2",#N/A,TRUE,"CSC"}</definedName>
    <definedName name="rename_of_wrn.CSC" hidden="1">{"page1",#N/A,TRUE,"CSC";"page2",#N/A,TRUE,"CSC"}</definedName>
    <definedName name="rep" localSheetId="0" hidden="1">{#N/A,#N/A,FALSE,"COVER";#N/A,#N/A,FALSE,"VALUATION";#N/A,#N/A,FALSE,"FORECAST";#N/A,#N/A,FALSE,"FY ANALYSIS ";#N/A,#N/A,FALSE," HY ANALYSIS"}</definedName>
    <definedName name="rep" hidden="1">{#N/A,#N/A,FALSE,"COVER";#N/A,#N/A,FALSE,"VALUATION";#N/A,#N/A,FALSE,"FORECAST";#N/A,#N/A,FALSE,"FY ANALYSIS ";#N/A,#N/A,FALSE," HY ANALYSIS"}</definedName>
    <definedName name="RepairedName0270" hidden="1">"iQShowAnnual"</definedName>
    <definedName name="report2" localSheetId="0" hidden="1">{#N/A,#N/A,FALSE,"BS";#N/A,#N/A,FALSE,"IS";#N/A,#N/A,FALSE,"CF";#N/A,#N/A,FALSE,"CE";#N/A,#N/A,FALSE,"Depr";#N/A,#N/A,FALSE,"APAL";#N/A,#N/A,FALSE,"OL"}</definedName>
    <definedName name="report2" hidden="1">{#N/A,#N/A,FALSE,"BS";#N/A,#N/A,FALSE,"IS";#N/A,#N/A,FALSE,"CF";#N/A,#N/A,FALSE,"CE";#N/A,#N/A,FALSE,"Depr";#N/A,#N/A,FALSE,"APAL";#N/A,#N/A,FALSE,"OL"}</definedName>
    <definedName name="ReportGroup" hidden="1">0</definedName>
    <definedName name="reps" localSheetId="0" hidden="1">{"FY03_Assets",#N/A,FALSE,"Fin Stmt Budget";"FY03_Liabilities",#N/A,FALSE,"Fin Stmt Budget";"FY03_Inc_Stmt",#N/A,FALSE,"Fin Stmt Budget";"FY03_SOCF",#N/A,FALSE,"Fin Stmt Budget"}</definedName>
    <definedName name="reps" hidden="1">{"FY03_Assets",#N/A,FALSE,"Fin Stmt Budget";"FY03_Liabilities",#N/A,FALSE,"Fin Stmt Budget";"FY03_Inc_Stmt",#N/A,FALSE,"Fin Stmt Budget";"FY03_SOCF",#N/A,FALSE,"Fin Stmt Budget"}</definedName>
    <definedName name="rere" localSheetId="0" hidden="1">{#N/A,#N/A,FALSE,"ORIX CSC"}</definedName>
    <definedName name="rere" hidden="1">{#N/A,#N/A,FALSE,"ORIX CSC"}</definedName>
    <definedName name="rerere" localSheetId="0" hidden="1">{"mgmt forecast",#N/A,FALSE,"Mgmt Forecast";"dcf table",#N/A,FALSE,"Mgmt Forecast";"sensitivity",#N/A,FALSE,"Mgmt Forecast";"table inputs",#N/A,FALSE,"Mgmt Forecast";"calculations",#N/A,FALSE,"Mgmt Forecast"}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sources" localSheetId="0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stime" localSheetId="0" hidden="1">{#N/A,#N/A,FALSE,"GPM";#N/A,#N/A,FALSE,"CE";#N/A,#N/A,FALSE,"Heat";#N/A,#N/A,FALSE,"ResTm";#N/A,#N/A,FALSE,"BLEND$"}</definedName>
    <definedName name="restime" hidden="1">{#N/A,#N/A,FALSE,"GPM";#N/A,#N/A,FALSE,"CE";#N/A,#N/A,FALSE,"Heat";#N/A,#N/A,FALSE,"ResTm";#N/A,#N/A,FALSE,"BLEND$"}</definedName>
    <definedName name="resttime" localSheetId="0" hidden="1">{#N/A,#N/A,FALSE,"GPM";#N/A,#N/A,FALSE,"CE";#N/A,#N/A,FALSE,"Heat";#N/A,#N/A,FALSE,"ResTm";#N/A,#N/A,FALSE,"BLEND$"}</definedName>
    <definedName name="resttime" hidden="1">{#N/A,#N/A,FALSE,"GPM";#N/A,#N/A,FALSE,"CE";#N/A,#N/A,FALSE,"Heat";#N/A,#N/A,FALSE,"ResTm";#N/A,#N/A,FALSE,"BLEND$"}</definedName>
    <definedName name="reuy" localSheetId="0" hidden="1">{#N/A,#N/A,FALSE,"Pedidos Abiertos"}</definedName>
    <definedName name="reuy" hidden="1">{#N/A,#N/A,FALSE,"Pedidos Abiertos"}</definedName>
    <definedName name="REVVV" hidden="1">#REF!</definedName>
    <definedName name="rew" localSheetId="0" hidden="1">{#N/A,#N/A,FALSE,"Summary";#N/A,#N/A,FALSE,"Month";#N/A,#N/A,FALSE,"YTD";#N/A,#N/A,FALSE,"Charts"}</definedName>
    <definedName name="rew" hidden="1">{#N/A,#N/A,FALSE,"Summary";#N/A,#N/A,FALSE,"Month";#N/A,#N/A,FALSE,"YTD";#N/A,#N/A,FALSE,"Charts"}</definedName>
    <definedName name="rewg" localSheetId="0" hidden="1">{#N/A,#N/A,FALSE,"970301";#N/A,#N/A,FALSE,"970302";#N/A,#N/A,FALSE,"970303";#N/A,#N/A,FALSE,"970304";#N/A,#N/A,FALSE,"COM1";#N/A,#N/A,FALSE,"COM2"}</definedName>
    <definedName name="rewg" hidden="1">{#N/A,#N/A,FALSE,"970301";#N/A,#N/A,FALSE,"970302";#N/A,#N/A,FALSE,"970303";#N/A,#N/A,FALSE,"970304";#N/A,#N/A,FALSE,"COM1";#N/A,#N/A,FALSE,"COM2"}</definedName>
    <definedName name="rework" localSheetId="0" hidden="1">{#N/A,#N/A,FALSE,"GPM";#N/A,#N/A,FALSE,"CE";#N/A,#N/A,FALSE,"Heat";#N/A,#N/A,FALSE,"ResTm";#N/A,#N/A,FALSE,"BLEND$"}</definedName>
    <definedName name="rework" hidden="1">{#N/A,#N/A,FALSE,"GPM";#N/A,#N/A,FALSE,"CE";#N/A,#N/A,FALSE,"Heat";#N/A,#N/A,FALSE,"ResTm";#N/A,#N/A,FALSE,"BLEND$"}</definedName>
    <definedName name="rewqa" localSheetId="0" hidden="1">{#N/A,#N/A,FALSE,"MSVC II Inc.";#N/A,#N/A,FALSE,"Guy Chazel";#N/A,#N/A,FALSE,"W. Harding";#N/A,#N/A,FALSE,"S. Halsted";#N/A,#N/A,FALSE,"F. Husain";#N/A,#N/A,FALSE,"J. Norrod";#N/A,#N/A,FALSE,"J. Booth";#N/A,#N/A,FALSE,"D. Abramovitz";#N/A,#N/A,FALSE,"A. Cooper";#N/A,#N/A,FALSE,"R. Loarie"}</definedName>
    <definedName name="rewqa" hidden="1">{#N/A,#N/A,FALSE,"MSVC II Inc.";#N/A,#N/A,FALSE,"Guy Chazel";#N/A,#N/A,FALSE,"W. Harding";#N/A,#N/A,FALSE,"S. Halsted";#N/A,#N/A,FALSE,"F. Husain";#N/A,#N/A,FALSE,"J. Norrod";#N/A,#N/A,FALSE,"J. Booth";#N/A,#N/A,FALSE,"D. Abramovitz";#N/A,#N/A,FALSE,"A. Cooper";#N/A,#N/A,FALSE,"R. Loarie"}</definedName>
    <definedName name="REWR" hidden="1">#REF!</definedName>
    <definedName name="rhs" localSheetId="0" hidden="1">{#N/A,#N/A,TRUE,"KEY DATA";#N/A,#N/A,TRUE,"KEY DATA Base Case";#N/A,#N/A,TRUE,"JULY";#N/A,#N/A,TRUE,"AUG";#N/A,#N/A,TRUE,"SEPT";#N/A,#N/A,TRUE,"3Q"}</definedName>
    <definedName name="rhs" hidden="1">{#N/A,#N/A,TRUE,"KEY DATA";#N/A,#N/A,TRUE,"KEY DATA Base Case";#N/A,#N/A,TRUE,"JULY";#N/A,#N/A,TRUE,"AUG";#N/A,#N/A,TRUE,"SEPT";#N/A,#N/A,TRUE,"3Q"}</definedName>
    <definedName name="Rick" localSheetId="0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s" localSheetId="0" hidden="1">{"BALANCE SHEET",#N/A,FALSE,"FINANCIALS";"INCOME",#N/A,FALSE,"FINANCIALS";"RETAINED EARNINGS",#N/A,FALSE,"FINANCIALS";"SOCFP",#N/A,FALSE,"FINANCIALS";"TRIAL BALANCE",#N/A,FALSE,"FINANCIALS"}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ngClientName" hidden="1">#REF!</definedName>
    <definedName name="rngComments" hidden="1">#REF!</definedName>
    <definedName name="rngCustJur_1" hidden="1">#REF!</definedName>
    <definedName name="rngCustJur_10" hidden="1">#REF!</definedName>
    <definedName name="rngCustJur_11" hidden="1">#REF!</definedName>
    <definedName name="rngCustJur_12" hidden="1">#REF!</definedName>
    <definedName name="rngCustJur_13" hidden="1">#REF!</definedName>
    <definedName name="rngCustJur_14" hidden="1">#REF!</definedName>
    <definedName name="rngCustJur_15" hidden="1">#REF!</definedName>
    <definedName name="rngCustJur_2" hidden="1">#REF!</definedName>
    <definedName name="rngCustJur_3" hidden="1">#REF!</definedName>
    <definedName name="rngCustJur_4" hidden="1">#REF!</definedName>
    <definedName name="rngCustJur_5" hidden="1">#REF!</definedName>
    <definedName name="rngCustJur_6" hidden="1">#REF!</definedName>
    <definedName name="rngCustJur_7" hidden="1">#REF!</definedName>
    <definedName name="rngCustJur_8" hidden="1">#REF!</definedName>
    <definedName name="rngCustJur_9" hidden="1">#REF!</definedName>
    <definedName name="rngDialogType" hidden="1">#REF!</definedName>
    <definedName name="rngEndDate" hidden="1">#REF!</definedName>
    <definedName name="rngFY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e_4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Review_4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ck2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3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localSheetId="0" hidden="1">{"LBO Summary",#N/A,FALSE,"Summary"}</definedName>
    <definedName name="Rockwell" hidden="1">{"LBO Summary",#N/A,FALSE,"Summary"}</definedName>
    <definedName name="roro" localSheetId="0" hidden="1">{#N/A,#N/A,FALSE,"Pedidos Abiertos"}</definedName>
    <definedName name="roro" hidden="1">{#N/A,#N/A,FALSE,"Pedidos Abiertos"}</definedName>
    <definedName name="row" localSheetId="0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row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Rozex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Rozex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RPB" hidden="1">#REF!</definedName>
    <definedName name="rrezz" localSheetId="0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rrezz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rrrrrr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rrrrrr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RRW" hidden="1">#REF!</definedName>
    <definedName name="rt" localSheetId="0" hidden="1">{"inputs raw data",#N/A,TRUE,"INPUT"}</definedName>
    <definedName name="rt" hidden="1">{"inputs raw data",#N/A,TRUE,"INPUT"}</definedName>
    <definedName name="rtgh" localSheetId="0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gh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hrth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thrt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trg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rtrg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rtzztuzj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tzztuzj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ung" localSheetId="0" hidden="1">{#N/A,#N/A,FALSE,"Eff-SSC2"}</definedName>
    <definedName name="rung" hidden="1">{#N/A,#N/A,FALSE,"Eff-SSC2"}</definedName>
    <definedName name="rve" hidden="1">#REF!</definedName>
    <definedName name="RWERWTEW" hidden="1">#REF!</definedName>
    <definedName name="rwjf" localSheetId="0" hidden="1">{#N/A,#N/A,FALSE,"BS";#N/A,#N/A,FALSE,"PL";#N/A,#N/A,FALSE,"SOE";#N/A,#N/A,FALSE,"SCF"}</definedName>
    <definedName name="rwjf" hidden="1">{#N/A,#N/A,FALSE,"BS";#N/A,#N/A,FALSE,"PL";#N/A,#N/A,FALSE,"SOE";#N/A,#N/A,FALSE,"SCF"}</definedName>
    <definedName name="Rwvu.Commercial97." hidden="1">#REF!</definedName>
    <definedName name="Rwvu.Expanded." hidden="1">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Synthèse." hidden="1">#REF!</definedName>
    <definedName name="Rwvu.synthétique." hidden="1">#REF!</definedName>
    <definedName name="rzeze" localSheetId="0" hidden="1">{#N/A,#N/A,FALSE,"Trading-Mult ";#N/A,#N/A,FALSE,"Trading-Cap";#N/A,#N/A,FALSE,"Trading-Inc";#N/A,#N/A,FALSE,"Cash Flow";#N/A,#N/A,FALSE,"M&amp;A info"}</definedName>
    <definedName name="rzeze" hidden="1">{#N/A,#N/A,FALSE,"Trading-Mult ";#N/A,#N/A,FALSE,"Trading-Cap";#N/A,#N/A,FALSE,"Trading-Inc";#N/A,#N/A,FALSE,"Cash Flow";#N/A,#N/A,FALSE,"M&amp;A info"}</definedName>
    <definedName name="S" localSheetId="0" hidden="1">{#N/A,#N/A,FALSE,"Virgin Flightdeck"}</definedName>
    <definedName name="S" hidden="1">{#N/A,#N/A,FALSE,"Virgin Flightdeck"}</definedName>
    <definedName name="s.summi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_Pro." localSheetId="0" hidden="1">{#N/A,#N/A,FALSE,"UNIT";#N/A,#N/A,FALSE,"UNIT";#N/A,#N/A,FALSE,"계정"}</definedName>
    <definedName name="s_Pro." hidden="1">{#N/A,#N/A,FALSE,"UNIT";#N/A,#N/A,FALSE,"UNIT";#N/A,#N/A,FALSE,"계정"}</definedName>
    <definedName name="saa" localSheetId="0" hidden="1">{#N/A,#N/A,FALSE,"OperatingAssumptions"}</definedName>
    <definedName name="saa" hidden="1">{#N/A,#N/A,FALSE,"OperatingAssumptions"}</definedName>
    <definedName name="SABEXrevision2" hidden="1">231</definedName>
    <definedName name="sad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asd" hidden="1">#REF!</definedName>
    <definedName name="sadd" localSheetId="0" hidden="1">{"MonthlyRentRoll",#N/A,FALSE,"RentRoll"}</definedName>
    <definedName name="sadd" hidden="1">{"MonthlyRentRoll",#N/A,FALSE,"RentRoll"}</definedName>
    <definedName name="saddd" localSheetId="0" hidden="1">{"AnnualRentRoll",#N/A,FALSE,"RentRoll"}</definedName>
    <definedName name="saddd" hidden="1">{"AnnualRentRoll",#N/A,FALSE,"RentRoll"}</definedName>
    <definedName name="saddddd" localSheetId="0" hidden="1">{"AnnualRentRoll",#N/A,FALSE,"RentRoll"}</definedName>
    <definedName name="saddddd" hidden="1">{"AnnualRentRoll",#N/A,FALSE,"RentRoll"}</definedName>
    <definedName name="sadddddddd" localSheetId="0" hidden="1">{#N/A,#N/A,FALSE,"ExitStratigy"}</definedName>
    <definedName name="sadddddddd" hidden="1">{#N/A,#N/A,FALSE,"ExitStratigy"}</definedName>
    <definedName name="sadddddddddd" localSheetId="0" hidden="1">{#N/A,#N/A,FALSE,"LoanAssumptions"}</definedName>
    <definedName name="sadddddddddd" hidden="1">{#N/A,#N/A,FALSE,"LoanAssumptions"}</definedName>
    <definedName name="saddddddddddddd" localSheetId="0" hidden="1">{#N/A,#N/A,FALSE,"OperatingAssumptions"}</definedName>
    <definedName name="saddddddddddddd" hidden="1">{#N/A,#N/A,FALSE,"OperatingAssumptions"}</definedName>
    <definedName name="sadf" localSheetId="0" hidden="1">{"ReportTop",#N/A,FALSE,"report top"}</definedName>
    <definedName name="sadf" hidden="1">{"mgmt forecast",#N/A,FALSE,"Mgmt Forecast";"dcf table",#N/A,FALSE,"Mgmt Forecast";"sensitivity",#N/A,FALSE,"Mgmt Forecast";"table inputs",#N/A,FALSE,"Mgmt Forecast";"calculations",#N/A,FALSE,"Mgmt Forecast"}</definedName>
    <definedName name="sadt" localSheetId="0" hidden="1">{#N/A,#N/A,FALSE,"AOP Summary";#N/A,#N/A,FALSE,"E.C. Reports";#N/A,#N/A,FALSE,"SADA";#N/A,#N/A,FALSE,"SADA VARIANCE";#N/A,#N/A,FALSE,"Market Share";#N/A,#N/A,FALSE,"Fisher Data"}</definedName>
    <definedName name="sadt" hidden="1">{#N/A,#N/A,FALSE,"AOP Summary";#N/A,#N/A,FALSE,"E.C. Reports";#N/A,#N/A,FALSE,"SADA";#N/A,#N/A,FALSE,"SADA VARIANCE";#N/A,#N/A,FALSE,"Market Share";#N/A,#N/A,FALSE,"Fisher Data"}</definedName>
    <definedName name="sady" localSheetId="0" hidden="1">{#N/A,#N/A,FALSE,"Summary";#N/A,#N/A,FALSE,"Month";#N/A,#N/A,FALSE,"YTD";#N/A,#N/A,FALSE,"Charts"}</definedName>
    <definedName name="sady" hidden="1">{#N/A,#N/A,FALSE,"Summary";#N/A,#N/A,FALSE,"Month";#N/A,#N/A,FALSE,"YTD";#N/A,#N/A,FALSE,"Charts"}</definedName>
    <definedName name="saefsef" localSheetId="0" hidden="1">{0,0,FALSE,0}</definedName>
    <definedName name="saefsef" hidden="1">{0,0,FALSE,0}</definedName>
    <definedName name="saeser" hidden="1">#REF!</definedName>
    <definedName name="sagf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" hidden="1">#REF!</definedName>
    <definedName name="salaries_jun04" localSheetId="0" hidden="1">{"'Monthly'!$A$3:$U$60"}</definedName>
    <definedName name="salaries_jun04" hidden="1">{"'Monthly'!$A$3:$U$60"}</definedName>
    <definedName name="sample" hidden="1">#REF!</definedName>
    <definedName name="SAPBEXhrIndnt" hidden="1">1</definedName>
    <definedName name="SAPBEXrevision" hidden="1">1</definedName>
    <definedName name="SAPBEXsysID" hidden="1">"PBL"</definedName>
    <definedName name="SAPBEXwbID" hidden="1">"3JWXP1JGVR0V27DB0INATEIH7"</definedName>
    <definedName name="SAPEXrevision3" hidden="1">231</definedName>
    <definedName name="sapexrevision4" hidden="1">4</definedName>
    <definedName name="sapexwbid4" hidden="1">"3N5E41CVNKXCIZ2S8I4UWT2K0"</definedName>
    <definedName name="SAPsysID" hidden="1">"708C5W7SBKP804JT78WJ0JNKI"</definedName>
    <definedName name="SAPwbID" hidden="1">"ARS"</definedName>
    <definedName name="say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c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ott" localSheetId="0" hidden="1">{#N/A,#N/A,FALSE,"OXHP"}</definedName>
    <definedName name="Scott" hidden="1">{#N/A,#N/A,FALSE,"OXHP"}</definedName>
    <definedName name="sd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ad" hidden="1">#REF!</definedName>
    <definedName name="SDAFDASFSD" hidden="1">#REF!</definedName>
    <definedName name="sdafsda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sdafsda" hidden="1">{#N/A,#N/A,FALSE,"DIR-REP";#N/A,#N/A,FALSE,"AUD-REPORT";#N/A,#N/A,FALSE,"P7L&amp;BS";#N/A,#N/A,FALSE,"NOTES";#N/A,#N/A,FALSE,"FA";#N/A,#N/A,FALSE,"NOTES (2)";#N/A,#N/A,FALSE,"Schedule  IV";#N/A,#N/A,FALSE,"Schedule V"}</definedName>
    <definedName name="sdafsdfzSDfasdf" localSheetId="0" hidden="1">{#N/A,#N/A,FALSE,"Sheet1"}</definedName>
    <definedName name="sdafsdfzSDfasdf" hidden="1">{#N/A,#N/A,FALSE,"Sheet1"}</definedName>
    <definedName name="sdasdasd" hidden="1">#REF!</definedName>
    <definedName name="sdasdsad" localSheetId="0" hidden="1">{#N/A,#N/A,TRUE,"Falcons_Standalone";#N/A,#N/A,TRUE,"Target_Input";#N/A,#N/A,TRUE,"Target_Calendarized"}</definedName>
    <definedName name="sdasdsad" hidden="1">{#N/A,#N/A,TRUE,"Falcons_Standalone";#N/A,#N/A,TRUE,"Target_Input";#N/A,#N/A,TRUE,"Target_Calendarized"}</definedName>
    <definedName name="sddf" localSheetId="0" hidden="1">{"QuarterLC",#N/A,FALSE,"LOCALwithADJ";"QuarterUSD",#N/A,FALSE,"USwithADJ"}</definedName>
    <definedName name="sddf" hidden="1">{"QuarterLC",#N/A,FALSE,"LOCALwithADJ";"QuarterUSD",#N/A,FALSE,"USwithADJ"}</definedName>
    <definedName name="sdfasdfsd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s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f" hidden="1">#REF!</definedName>
    <definedName name="sdfga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sdfg" localSheetId="0" hidden="1">{#N/A,#N/A,FALSE,"UNIT";#N/A,#N/A,FALSE,"UNIT";#N/A,#N/A,FALSE,"계정"}</definedName>
    <definedName name="sdfgsdfg" hidden="1">{#N/A,#N/A,FALSE,"UNIT";#N/A,#N/A,FALSE,"UNIT";#N/A,#N/A,FALSE,"계정"}</definedName>
    <definedName name="sdf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adfaasf" localSheetId="0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df" localSheetId="0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sdfsdf" hidden="1">{#N/A,#N/A,TRUE,"Acquirer_Cases_Input";#N/A,#N/A,TRUE,"Acquirer_Input";#N/A,#N/A,TRUE,"Acquirer"}</definedName>
    <definedName name="sdfsdfsd" localSheetId="0" hidden="1">{0,0,0,0}</definedName>
    <definedName name="sdfsdfsd" hidden="1">{0,0,0,0}</definedName>
    <definedName name="sdft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" localSheetId="0" hidden="1">{#N/A,#N/A,FALSE,"AOP Summary";#N/A,#N/A,FALSE,"E.C. Reports";#N/A,#N/A,FALSE,"SADA";#N/A,#N/A,FALSE,"SADA VARIANCE";#N/A,#N/A,FALSE,"Market Share";#N/A,#N/A,FALSE,"Fisher Data"}</definedName>
    <definedName name="sdg" hidden="1">{#N/A,#N/A,FALSE,"AOP Summary";#N/A,#N/A,FALSE,"E.C. Reports";#N/A,#N/A,FALSE,"SADA";#N/A,#N/A,FALSE,"SADA VARIANCE";#N/A,#N/A,FALSE,"Market Share";#N/A,#N/A,FALSE,"Fisher Data"}</definedName>
    <definedName name="sdgewgeg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dgewgeg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dgfh" localSheetId="0" hidden="1">{#N/A,#N/A,FALSE,"Summary";#N/A,#N/A,FALSE,"Month";#N/A,#N/A,FALSE,"YTD";#N/A,#N/A,FALSE,"Charts"}</definedName>
    <definedName name="sdgfh" hidden="1">{#N/A,#N/A,FALSE,"Summary";#N/A,#N/A,FALSE,"Month";#N/A,#N/A,FALSE,"YTD";#N/A,#N/A,FALSE,"Charts"}</definedName>
    <definedName name="sdgg" localSheetId="0" hidden="1">{#N/A,#N/A,FALSE,"AOP Summary";#N/A,#N/A,FALSE,"E.C. Reports";#N/A,#N/A,FALSE,"SADA";#N/A,#N/A,FALSE,"SADA VARIANCE";#N/A,#N/A,FALSE,"Market Share";#N/A,#N/A,FALSE,"Fisher Data"}</definedName>
    <definedName name="sdgg" hidden="1">{#N/A,#N/A,FALSE,"AOP Summary";#N/A,#N/A,FALSE,"E.C. Reports";#N/A,#N/A,FALSE,"SADA";#N/A,#N/A,FALSE,"SADA VARIANCE";#N/A,#N/A,FALSE,"Market Share";#N/A,#N/A,FALSE,"Fisher Data"}</definedName>
    <definedName name="sdgsdg" localSheetId="0" hidden="1">{"GuVGmbH",#N/A,FALSE,"ratios";"BilanzGmbH",#N/A,FALSE,"ratios";"BilanzKG",#N/A,FALSE,"ratios";"GuVKG",#N/A,FALSE,"ratios"}</definedName>
    <definedName name="sdgsdg" hidden="1">{"GuVGmbH",#N/A,FALSE,"ratios";"BilanzGmbH",#N/A,FALSE,"ratios";"BilanzKG",#N/A,FALSE,"ratios";"GuVKG",#N/A,FALSE,"ratios"}</definedName>
    <definedName name="sdgsdgs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sdgsdgs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sdhlajdflfjlsjf" localSheetId="0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sdhlajdflfjlsjf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sdjf" localSheetId="0" hidden="1">{#N/A,#N/A,FALSE,"AOP Summary";#N/A,#N/A,FALSE,"E.C. Reports";#N/A,#N/A,FALSE,"SADA";#N/A,#N/A,FALSE,"SADA VARIANCE";#N/A,#N/A,FALSE,"Market Share";#N/A,#N/A,FALSE,"Fisher Data"}</definedName>
    <definedName name="sdjf" hidden="1">{#N/A,#N/A,FALSE,"AOP Summary";#N/A,#N/A,FALSE,"E.C. Reports";#N/A,#N/A,FALSE,"SADA";#N/A,#N/A,FALSE,"SADA VARIANCE";#N/A,#N/A,FALSE,"Market Share";#N/A,#N/A,FALSE,"Fisher Data"}</definedName>
    <definedName name="SDJKa" hidden="1">#REF!</definedName>
    <definedName name="sdle" localSheetId="0" hidden="1">{#N/A,#N/A,FALSE,"TAXC.INDEX";#N/A,#N/A,FALSE,"Schedule I";#N/A,#N/A,FALSE,"Schedule  II";#N/A,#N/A,FALSE,"Schedule III"}</definedName>
    <definedName name="sdle" hidden="1">{#N/A,#N/A,FALSE,"TAXC.INDEX";#N/A,#N/A,FALSE,"Schedule I";#N/A,#N/A,FALSE,"Schedule  II";#N/A,#N/A,FALSE,"Schedule III"}</definedName>
    <definedName name="sds" localSheetId="0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sds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sdsa" localSheetId="0" hidden="1">{#N/A,#N/A,FALSE,"Detail";#N/A,#N/A,FALSE,"%s";#N/A,#N/A,FALSE,"Fund I";#N/A,#N/A,FALSE,"Fund II ";#N/A,#N/A,FALSE,"Fund III";#N/A,#N/A,FALSE,"public companies"}</definedName>
    <definedName name="sdsa" hidden="1">{#N/A,#N/A,FALSE,"Detail";#N/A,#N/A,FALSE,"%s";#N/A,#N/A,FALSE,"Fund I";#N/A,#N/A,FALSE,"Fund II ";#N/A,#N/A,FALSE,"Fund III";#N/A,#N/A,FALSE,"public companies"}</definedName>
    <definedName name="sdsdfsdf" localSheetId="0" hidden="1">{"GuVGmbH",#N/A,FALSE,"ratios";"BilanzGmbH",#N/A,FALSE,"ratios";"BilanzKG",#N/A,FALSE,"ratios";"GuVKG",#N/A,FALSE,"ratios"}</definedName>
    <definedName name="sdsdfsdf" hidden="1">{"GuVGmbH",#N/A,FALSE,"ratios";"BilanzGmbH",#N/A,FALSE,"ratios";"BilanzKG",#N/A,FALSE,"ratios";"GuVKG",#N/A,FALSE,"ratios"}</definedName>
    <definedName name="sdv" localSheetId="0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dv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dvdfvv" hidden="1">#REF!</definedName>
    <definedName name="sdwsa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dws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e" localSheetId="0" hidden="1">{#N/A,#N/A,FALSE,"Summary";#N/A,#N/A,FALSE,"Month";#N/A,#N/A,FALSE,"YTD";#N/A,#N/A,FALSE,"Charts"}</definedName>
    <definedName name="se" hidden="1">{#N/A,#N/A,FALSE,"Summary";#N/A,#N/A,FALSE,"Month";#N/A,#N/A,FALSE,"YTD";#N/A,#N/A,FALSE,"Charts"}</definedName>
    <definedName name="sed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sedt" hidden="1">{#N/A,#N/A,FALSE,"DIR-REP";#N/A,#N/A,FALSE,"AUD-REPORT";#N/A,#N/A,FALSE,"P7L&amp;BS";#N/A,#N/A,FALSE,"NOTES";#N/A,#N/A,FALSE,"FA";#N/A,#N/A,FALSE,"NOTES (2)";#N/A,#N/A,FALSE,"Schedule  IV";#N/A,#N/A,FALSE,"Schedule V"}</definedName>
    <definedName name="sefsdfs" localSheetId="0" hidden="1">{0,0,FALSE,0}</definedName>
    <definedName name="sefsdfs" hidden="1">{0,0,FALSE,0}</definedName>
    <definedName name="Seg_LBO_Summ" localSheetId="0" hidden="1">{"LBO Summary",#N/A,FALSE,"Summary"}</definedName>
    <definedName name="Seg_LBO_Summ" hidden="1">{"LBO Summary",#N/A,FALSE,"Summary"}</definedName>
    <definedName name="Segment2" hidden="1">#REF!</definedName>
    <definedName name="Selim" localSheetId="0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im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l" localSheetId="0" hidden="1">{"'Eng (page2)'!$A$1:$D$52"}</definedName>
    <definedName name="sell" hidden="1">{"'Eng (page2)'!$A$1:$D$52"}</definedName>
    <definedName name="sels" localSheetId="0" hidden="1">{#N/A,#N/A,TRUE,"COVER";#N/A,#N/A,TRUE,"DIR";#N/A,#N/A,TRUE,"AUDIT"}</definedName>
    <definedName name="sels" hidden="1">{#N/A,#N/A,TRUE,"COVER";#N/A,#N/A,TRUE,"DIR";#N/A,#N/A,TRUE,"AUDIT"}</definedName>
    <definedName name="sencount" hidden="1">26</definedName>
    <definedName name="seoa" localSheetId="0" hidden="1">{#N/A,#N/A,FALSE,"TAXC.INDEX";#N/A,#N/A,FALSE,"Schedule I";#N/A,#N/A,FALSE,"Schedule  II";#N/A,#N/A,FALSE,"Schedule III"}</definedName>
    <definedName name="seoa" hidden="1">{#N/A,#N/A,FALSE,"TAXC.INDEX";#N/A,#N/A,FALSE,"Schedule I";#N/A,#N/A,FALSE,"Schedule  II";#N/A,#N/A,FALSE,"Schedule III"}</definedName>
    <definedName name="seoa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seoas" hidden="1">{#N/A,#N/A,FALSE,"DIR-REP";#N/A,#N/A,FALSE,"AUD-REPORT";#N/A,#N/A,FALSE,"P7L&amp;BS";#N/A,#N/A,FALSE,"NOTES";#N/A,#N/A,FALSE,"FA";#N/A,#N/A,FALSE,"NOTES (2)";#N/A,#N/A,FALSE,"Schedule  IV";#N/A,#N/A,FALSE,"Schedule V"}</definedName>
    <definedName name="seold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ld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" localSheetId="0" hidden="1">{#N/A,#N/A,FALSE,"TAXC.INDEX";#N/A,#N/A,FALSE,"Schedule I";#N/A,#N/A,FALSE,"Schedule  II";#N/A,#N/A,FALSE,"Schedule III"}</definedName>
    <definedName name="seot" hidden="1">{#N/A,#N/A,FALSE,"TAXC.INDEX";#N/A,#N/A,FALSE,"Schedule I";#N/A,#N/A,FALSE,"Schedule  II";#N/A,#N/A,FALSE,"Schedule III"}</definedName>
    <definedName name="seotl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st" localSheetId="0" hidden="1">{#N/A,#N/A,FALSE,"TAXC.INDEX";#N/A,#N/A,FALSE,"Schedule I";#N/A,#N/A,FALSE,"Schedule  II";#N/A,#N/A,FALSE,"Schedule III"}</definedName>
    <definedName name="seotst" hidden="1">{#N/A,#N/A,FALSE,"TAXC.INDEX";#N/A,#N/A,FALSE,"Schedule I";#N/A,#N/A,FALSE,"Schedule  II";#N/A,#N/A,FALSE,"Schedule III"}</definedName>
    <definedName name="ser" localSheetId="0" hidden="1">{#N/A,#N/A,FALSE,"Summary";#N/A,#N/A,FALSE,"Month";#N/A,#N/A,FALSE,"YTD";#N/A,#N/A,FALSE,"Charts"}</definedName>
    <definedName name="ser" hidden="1">{#N/A,#N/A,FALSE,"Summary";#N/A,#N/A,FALSE,"Month";#N/A,#N/A,FALSE,"YTD";#N/A,#N/A,FALSE,"Charts"}</definedName>
    <definedName name="setols" localSheetId="0" hidden="1">{#N/A,#N/A,TRUE,"COVER";#N/A,#N/A,TRUE,"DIR";#N/A,#N/A,TRUE,"AUDIT"}</definedName>
    <definedName name="setols" hidden="1">{#N/A,#N/A,TRUE,"COVER";#N/A,#N/A,TRUE,"DIR";#N/A,#N/A,TRUE,"AUDIT"}</definedName>
    <definedName name="Settlements" localSheetId="0" hidden="1">{"Short Stage 1",#N/A,FALSE,"Stage 1";"Short Stage 2",#N/A,FALSE,"Stage 2";"Short Stage 3",#N/A,FALSE,"Stage 3";"Short Stage 4",#N/A,FALSE,"Stage 4";"Short Stage 5",#N/A,FALSE,"Stage 5";"Short Stage 6",#N/A,FALSE,"Stage 6";"Short Stage 7",#N/A,FALSE,"Stage 7"}</definedName>
    <definedName name="Settlements" hidden="1">{"Short Stage 1",#N/A,FALSE,"Stage 1";"Short Stage 2",#N/A,FALSE,"Stage 2";"Short Stage 3",#N/A,FALSE,"Stage 3";"Short Stage 4",#N/A,FALSE,"Stage 4";"Short Stage 5",#N/A,FALSE,"Stage 5";"Short Stage 6",#N/A,FALSE,"Stage 6";"Short Stage 7",#N/A,FALSE,"Stage 7"}</definedName>
    <definedName name="sfadf" localSheetId="0" hidden="1">{#N/A,#N/A,TRUE,"Cover sheet";#N/A,#N/A,TRUE,"INPUTS";#N/A,#N/A,TRUE,"OUTPUTS";#N/A,#N/A,TRUE,"VALUATION"}</definedName>
    <definedName name="sfadf" hidden="1">{#N/A,#N/A,TRUE,"Cover sheet";#N/A,#N/A,TRUE,"INPUTS";#N/A,#N/A,TRUE,"OUTPUTS";#N/A,#N/A,TRUE,"VALUATION"}</definedName>
    <definedName name="sfghsrfh" hidden="1">#REF!</definedName>
    <definedName name="sfghtj" localSheetId="0" hidden="1">{#N/A,#N/A,FALSE,"UNIT";#N/A,#N/A,FALSE,"UNIT";#N/A,#N/A,FALSE,"계정"}</definedName>
    <definedName name="sfghtj" hidden="1">{#N/A,#N/A,FALSE,"UNIT";#N/A,#N/A,FALSE,"UNIT";#N/A,#N/A,FALSE,"계정"}</definedName>
    <definedName name="sfs" localSheetId="0" hidden="1">{"AssumptionSheet",#N/A,FALSE,"Assumptions";"RevenueExpensesSheet",#N/A,FALSE,"Table_Revenue";"EquityProfileSheet",#N/A,FALSE,"Table_Equity";"ConstructDebtSheet",#N/A,FALSE,"Table_Debt"}</definedName>
    <definedName name="sfs" hidden="1">{"AssumptionSheet",#N/A,FALSE,"Assumptions";"RevenueExpensesSheet",#N/A,FALSE,"Table_Revenue";"EquityProfileSheet",#N/A,FALSE,"Table_Equity";"ConstructDebtSheet",#N/A,FALSE,"Table_Debt"}</definedName>
    <definedName name="sfsdf" localSheetId="0" hidden="1">{#N/A,#N/A,FALSE,"BalSheet";#N/A,#N/A,FALSE,"IncStmt";#N/A,#N/A,FALSE,"StmtPCA";#N/A,#N/A,FALSE,"CashFlow";#N/A,#N/A,FALSE,"PCA";#N/A,#N/A,FALSE,"Income";#N/A,#N/A,FALSE,"JE";#N/A,#N/A,FALSE,"BK Rec";#N/A,#N/A,FALSE,"NV Interest";#N/A,#N/A,FALSE,"Mgt Fee";#N/A,#N/A,FALSE,"Cashflow Support";#N/A,#N/A,FALSE,"Accounts Payable";#N/A,#N/A,FALSE,"Mgt Fee Adj";#N/A,#N/A,FALSE,"Venture Interest";#N/A,#N/A,FALSE,"Distribution Support";#N/A,#N/A,FALSE,"Cashflow Support";#N/A,#N/A,FALSE,"Employee syndication";#N/A,#N/A,FALSE,"Other Expense "}</definedName>
    <definedName name="sfsdf" hidden="1">{#N/A,#N/A,FALSE,"BalSheet";#N/A,#N/A,FALSE,"IncStmt";#N/A,#N/A,FALSE,"StmtPCA";#N/A,#N/A,FALSE,"CashFlow";#N/A,#N/A,FALSE,"PCA";#N/A,#N/A,FALSE,"Income";#N/A,#N/A,FALSE,"JE";#N/A,#N/A,FALSE,"BK Rec";#N/A,#N/A,FALSE,"NV Interest";#N/A,#N/A,FALSE,"Mgt Fee";#N/A,#N/A,FALSE,"Cashflow Support";#N/A,#N/A,FALSE,"Accounts Payable";#N/A,#N/A,FALSE,"Mgt Fee Adj";#N/A,#N/A,FALSE,"Venture Interest";#N/A,#N/A,FALSE,"Distribution Support";#N/A,#N/A,FALSE,"Cashflow Support";#N/A,#N/A,FALSE,"Employee syndication";#N/A,#N/A,FALSE,"Other Expense "}</definedName>
    <definedName name="sfsdfsf" localSheetId="0" hidden="1">{"First Page",#N/A,FALSE,"Surfactants LBO";"Second Page",#N/A,FALSE,"Surfactants LBO"}</definedName>
    <definedName name="sfsdfsf" hidden="1">{"First Page",#N/A,FALSE,"Surfactants LBO";"Second Page",#N/A,FALSE,"Surfactants LBO"}</definedName>
    <definedName name="SFsdgdfhgf" localSheetId="0" hidden="1">{"Refining 1",#N/A,FALSE,"Detailed cost - crude";"Refining 2",#N/A,FALSE,"Detailed cost - crude"}</definedName>
    <definedName name="SFsdgdfhgf" hidden="1">{"Refining 1",#N/A,FALSE,"Detailed cost - crude";"Refining 2",#N/A,FALSE,"Detailed cost - crude"}</definedName>
    <definedName name="sfsdv" localSheetId="0" hidden="1">{"AssumptionSheet",#N/A,FALSE,"Assumptions";"RevenueExpensesSheet",#N/A,FALSE,"Table_Revenue";"EquityProfileSheet",#N/A,FALSE,"Table_Equity";"ConstructDebtSheet",#N/A,FALSE,"Table_Debt"}</definedName>
    <definedName name="sfsdv" hidden="1">{"AssumptionSheet",#N/A,FALSE,"Assumptions";"RevenueExpensesSheet",#N/A,FALSE,"Table_Revenue";"EquityProfileSheet",#N/A,FALSE,"Table_Equity";"ConstructDebtSheet",#N/A,FALSE,"Table_Debt"}</definedName>
    <definedName name="sfsfs" hidden="1">#REF!</definedName>
    <definedName name="sfwefwef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f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dzhet" localSheetId="0" hidden="1">{"subs",#N/A,FALSE,"database ";"proportional",#N/A,FALSE,"database "}</definedName>
    <definedName name="sgdzhet" hidden="1">{"subs",#N/A,FALSE,"database ";"proportional",#N/A,FALSE,"database "}</definedName>
    <definedName name="sgew4g4g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ew4g4g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hhh" localSheetId="0" hidden="1">{#N/A,#N/A,FALSE,"Summary";#N/A,#N/A,FALSE,"Month";#N/A,#N/A,FALSE,"YTD";#N/A,#N/A,FALSE,"Charts"}</definedName>
    <definedName name="sghhh" hidden="1">{#N/A,#N/A,FALSE,"Summary";#N/A,#N/A,FALSE,"Month";#N/A,#N/A,FALSE,"YTD";#N/A,#N/A,FALSE,"Charts"}</definedName>
    <definedName name="sgwsgeesg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sgwsgeesg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sh" localSheetId="0" hidden="1">{#N/A,#N/A,FALSE,"Summary";#N/A,#N/A,FALSE,"Month";#N/A,#N/A,FALSE,"YTD";#N/A,#N/A,FALSE,"Charts"}</definedName>
    <definedName name="sh" hidden="1">{#N/A,#N/A,FALSE,"Summary";#N/A,#N/A,FALSE,"Month";#N/A,#N/A,FALSE,"YTD";#N/A,#N/A,FALSE,"Charts"}</definedName>
    <definedName name="sheet" localSheetId="0" hidden="1">{"bs",#N/A,FALSE,"SCF"}</definedName>
    <definedName name="sheet" hidden="1">{"Assumptions1",#N/A,FALSE,"Assumptions";"MergerPlans1","20yearamort",FALSE,"MergerPlans";"MergerPlans1","40yearamort",FALSE,"MergerPlans";"MergerPlans2",#N/A,FALSE,"MergerPlans";"inputs",#N/A,FALSE,"MergerPlans"}</definedName>
    <definedName name="Sheet_AcctClass" hidden="1">#REF!</definedName>
    <definedName name="Sheet_AjeProof" hidden="1">#REF!</definedName>
    <definedName name="Sheet_AjeSatus" hidden="1">#REF!</definedName>
    <definedName name="Sheet_Balance1" hidden="1">#REF!</definedName>
    <definedName name="Sheet_ConEntityList" hidden="1">#REF!</definedName>
    <definedName name="Sheet_ConItems" hidden="1">#REF!</definedName>
    <definedName name="Sheet_ConNoteList" hidden="1">#REF!</definedName>
    <definedName name="Sheet_ConTrialbalPY1" hidden="1">#REF!</definedName>
    <definedName name="Sheet_FsCheckList" hidden="1">#REF!</definedName>
    <definedName name="Sheet_FsnotesList" hidden="1">#REF!</definedName>
    <definedName name="Sheet_IS" hidden="1">#REF!</definedName>
    <definedName name="Sheet_Items" hidden="1">#REF!</definedName>
    <definedName name="Sheet_Items2" hidden="1">#REF!</definedName>
    <definedName name="Sheet_MisstaCause" hidden="1">#REF!</definedName>
    <definedName name="Sheet_MisstaType" hidden="1">#REF!</definedName>
    <definedName name="Sheet_NoteList" hidden="1">#REF!</definedName>
    <definedName name="Sheet_Trialbal" hidden="1">#REF!</definedName>
    <definedName name="Sheet_TypeName" hidden="1">#REF!</definedName>
    <definedName name="Sheet_UncorMistaType" hidden="1">#REF!</definedName>
    <definedName name="Sheet_Units" hidden="1">#REF!</definedName>
    <definedName name="sheet1" localSheetId="0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heet1" hidden="1">#REF!</definedName>
    <definedName name="sheet100" localSheetId="0" hidden="1">{"QuarterLC",#N/A,FALSE,"LOCALwithADJ";"QuarterUSD",#N/A,FALSE,"USwithADJ"}</definedName>
    <definedName name="sheet100" hidden="1">{"QuarterLC",#N/A,FALSE,"LOCALwithADJ";"QuarterUSD",#N/A,FALSE,"USwithADJ"}</definedName>
    <definedName name="SHEET12" hidden="1">#REF!</definedName>
    <definedName name="SHEET13" hidden="1">#REF!</definedName>
    <definedName name="sheet2" localSheetId="0" hidden="1">{"ProjLC",#N/A,FALSE,"LOCALwithADJ";"ProjUSD",#N/A,FALSE,"USwithADJ"}</definedName>
    <definedName name="sheet3" localSheetId="0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helley" localSheetId="0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shelley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shg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ttt" hidden="1">255</definedName>
    <definedName name="SHOA" localSheetId="0" hidden="1">{#N/A,#N/A,FALSE,"Virgin Flightdeck"}</definedName>
    <definedName name="SHOA" hidden="1">{#N/A,#N/A,FALSE,"Virgin Flightdeck"}</definedName>
    <definedName name="sit" hidden="1">#REF!</definedName>
    <definedName name="sjedo" localSheetId="0" hidden="1">{#N/A,#N/A,FALSE,"TAXC.INDEX";#N/A,#N/A,FALSE,"Schedule I";#N/A,#N/A,FALSE,"Schedule  II";#N/A,#N/A,FALSE,"Schedule III"}</definedName>
    <definedName name="sjedo" hidden="1">{#N/A,#N/A,FALSE,"TAXC.INDEX";#N/A,#N/A,FALSE,"Schedule I";#N/A,#N/A,FALSE,"Schedule  II";#N/A,#N/A,FALSE,"Schedule III"}</definedName>
    <definedName name="sjgosjf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gosj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k" hidden="1">0</definedName>
    <definedName name="sjkdsjdk" localSheetId="0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oe" localSheetId="0" hidden="1">{#N/A,#N/A,TRUE,"COVER";#N/A,#N/A,TRUE,"DIR";#N/A,#N/A,TRUE,"AUDIT"}</definedName>
    <definedName name="sjoe" hidden="1">{#N/A,#N/A,TRUE,"COVER";#N/A,#N/A,TRUE,"DIR";#N/A,#N/A,TRUE,"AUDIT"}</definedName>
    <definedName name="sjog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kjlajlk" localSheetId="0" hidden="1">{#N/A,#N/A,FALSE,"Domestic3";#N/A,#N/A,FALSE,"Employee3";#N/A,#N/A,FALSE,"Entrepreneur";#N/A,#N/A,FALSE,"GP3";#N/A,#N/A,FALSE,"MGP3"}</definedName>
    <definedName name="skjlajlk" hidden="1">{#N/A,#N/A,FALSE,"Domestic3";#N/A,#N/A,FALSE,"Employee3";#N/A,#N/A,FALSE,"Entrepreneur";#N/A,#N/A,FALSE,"GP3";#N/A,#N/A,FALSE,"MGP3"}</definedName>
    <definedName name="sldk" hidden="1">#REF!</definedName>
    <definedName name="SleepmasterIncome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o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lie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li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oo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llo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now" localSheetId="0" hidden="1">{#N/A,#N/A,FALSE,"Virgin Flightdeck"}</definedName>
    <definedName name="Snow" hidden="1">{#N/A,#N/A,FALSE,"Virgin Flightdeck"}</definedName>
    <definedName name="so" hidden="1">#REF!</definedName>
    <definedName name="soctl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ct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e" localSheetId="0" hidden="1">{#N/A,#N/A,FALSE,"TAXC.INDEX";#N/A,#N/A,FALSE,"Schedule I";#N/A,#N/A,FALSE,"Schedule  II";#N/A,#N/A,FALSE,"Schedule III"}</definedName>
    <definedName name="soe" hidden="1">{#N/A,#N/A,FALSE,"TAXC.INDEX";#N/A,#N/A,FALSE,"Schedule I";#N/A,#N/A,FALSE,"Schedule  II";#N/A,#N/A,FALSE,"Schedule III"}</definedName>
    <definedName name="soe.c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.c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g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tjl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etj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f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sof" hidden="1">{#N/A,#N/A,FALSE,"DIR-REP";#N/A,#N/A,FALSE,"AUD-REPORT";#N/A,#N/A,FALSE,"P7L&amp;BS";#N/A,#N/A,FALSE,"NOTES";#N/A,#N/A,FALSE,"FA";#N/A,#N/A,FALSE,"NOTES (2)";#N/A,#N/A,FALSE,"Schedule  IV";#N/A,#N/A,FALSE,"Schedule V"}</definedName>
    <definedName name="sofie" localSheetId="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fie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3</definedName>
    <definedName name="solver_val" localSheetId="0" hidden="1">0</definedName>
    <definedName name="solver_val" hidden="1">0.6</definedName>
    <definedName name="soo" localSheetId="0" hidden="1">{#N/A,#N/A,FALSE,"COST";#N/A,#N/A,FALSE,"INCOME";#N/A,#N/A,FALSE,"INTEREST";#N/A,#N/A,FALSE,"TAX &amp; CAM"}</definedName>
    <definedName name="soo" hidden="1">{#N/A,#N/A,FALSE,"COST";#N/A,#N/A,FALSE,"INCOME";#N/A,#N/A,FALSE,"INTEREST";#N/A,#N/A,FALSE,"TAX &amp; CAM"}</definedName>
    <definedName name="soooo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soooot" hidden="1">{#N/A,#N/A,FALSE,"DIR-REP";#N/A,#N/A,FALSE,"AUD-REPORT";#N/A,#N/A,FALSE,"P7L&amp;BS";#N/A,#N/A,FALSE,"NOTES";#N/A,#N/A,FALSE,"FA";#N/A,#N/A,FALSE,"NOTES (2)";#N/A,#N/A,FALSE,"Schedule  IV";#N/A,#N/A,FALSE,"Schedule V"}</definedName>
    <definedName name="sor" hidden="1">#REF!</definedName>
    <definedName name="sorry" localSheetId="0" hidden="1">{#N/A,#N/A,FALSE,"Summary";#N/A,#N/A,FALSE,"Month";#N/A,#N/A,FALSE,"YTD";#N/A,#N/A,FALSE,"Charts"}</definedName>
    <definedName name="sorry" hidden="1">{#N/A,#N/A,FALSE,"Summary";#N/A,#N/A,FALSE,"Month";#N/A,#N/A,FALSE,"YTD";#N/A,#N/A,FALSE,"Charts"}</definedName>
    <definedName name="sort" hidden="1">#REF!</definedName>
    <definedName name="sort2" hidden="1">#REF!</definedName>
    <definedName name="sotalj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talj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X" localSheetId="0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SOX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SP_EXCEL_LINK_aa301f03340f4321809e34b4a534c32b" hidden="1">#REF!</definedName>
    <definedName name="spo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s" localSheetId="0" hidden="1">{#N/A,#N/A,FALSE,"earnings"}</definedName>
    <definedName name="ss" hidden="1">{#N/A,#N/A,FALSE,"earnings"}</definedName>
    <definedName name="ssc" localSheetId="0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sc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SO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aa" localSheetId="0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sssaa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ssssd" hidden="1">#REF!</definedName>
    <definedName name="sssss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s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ssssssssssss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sssssssssssssss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ssssssssssssssssssss" localSheetId="0" hidden="1">{"M2Print",#N/A,FALSE,"M2"}</definedName>
    <definedName name="ssssssssssssssssssssssss" hidden="1">{"M2Print",#N/A,FALSE,"M2"}</definedName>
    <definedName name="ssws" localSheetId="0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ssws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ssww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sw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t" localSheetId="0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ffing2" localSheetId="0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0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e" localSheetId="0" hidden="1">{#N/A,#N/A,FALSE,"Virgin Flightdeck"}</definedName>
    <definedName name="ste" hidden="1">{#N/A,#N/A,FALSE,"Virgin Flightdeck"}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ven" localSheetId="0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KMV" hidden="1">#REF!</definedName>
    <definedName name="stop" localSheetId="0" hidden="1">{"Headcount Worksheet",#N/A,FALSE,"HEADCOUNT"}</definedName>
    <definedName name="stop" hidden="1">{"Headcount Worksheet",#N/A,FALSE,"HEADCOUNT"}</definedName>
    <definedName name="stud1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localSheetId="0" hidden="1">{"TOTAL",#N/A,FALSE,"A";"FISCAL94",#N/A,FALSE,"A";"FISCAL95",#N/A,FALSE,"A";"FISCAL96",#N/A,FALSE,"A";"misc page",#N/A,FALSE,"A"}</definedName>
    <definedName name="stuff" hidden="1">{"TOTAL",#N/A,FALSE,"A";"FISCAL94",#N/A,FALSE,"A";"FISCAL95",#N/A,FALSE,"A";"FISCAL96",#N/A,FALSE,"A";"misc page",#N/A,FALSE,"A"}</definedName>
    <definedName name="SUMMARY_BOOK" localSheetId="0" hidden="1">{"page1",#N/A,FALSE,"GIRLBO";"page2",#N/A,FALSE,"GIRLBO";"page3",#N/A,FALSE,"GIRLBO";"page4",#N/A,FALSE,"GIRLBO";"page5",#N/A,FALSE,"GIRLBO"}</definedName>
    <definedName name="SUMMARY_BOOK" hidden="1">{"page1",#N/A,FALSE,"GIRLBO";"page2",#N/A,FALSE,"GIRLBO";"page3",#N/A,FALSE,"GIRLBO";"page4",#N/A,FALSE,"GIRLBO";"page5",#N/A,FALSE,"GIRLBO"}</definedName>
    <definedName name="Summary_Phase3" localSheetId="0" hidden="1">{"Summary",#N/A,FALSE,"Summary"}</definedName>
    <definedName name="Summary_Phase3" hidden="1">{"Summary",#N/A,FALSE,"Summary"}</definedName>
    <definedName name="summary3" localSheetId="0" hidden="1">{#N/A,#N/A,FALSE,"Virgin Flightdeck"}</definedName>
    <definedName name="summary3" hidden="1">{#N/A,#N/A,FALSE,"Virgin Flightdeck"}</definedName>
    <definedName name="summaryty" localSheetId="0" hidden="1">{#N/A,#N/A,TRUE,"KEY DATA";#N/A,#N/A,TRUE,"KEY DATA Base Case";#N/A,#N/A,TRUE,"JULY";#N/A,#N/A,TRUE,"AUG";#N/A,#N/A,TRUE,"SEPT";#N/A,#N/A,TRUE,"3Q"}</definedName>
    <definedName name="summaryty" hidden="1">{#N/A,#N/A,TRUE,"KEY DATA";#N/A,#N/A,TRUE,"KEY DATA Base Case";#N/A,#N/A,TRUE,"JULY";#N/A,#N/A,TRUE,"AUG";#N/A,#N/A,TRUE,"SEPT";#N/A,#N/A,TRUE,"3Q"}</definedName>
    <definedName name="summaryty." localSheetId="0" hidden="1">{#N/A,#N/A,TRUE,"KEY DATA";#N/A,#N/A,TRUE,"KEY DATA Base Case";#N/A,#N/A,TRUE,"JULY";#N/A,#N/A,TRUE,"AUG";#N/A,#N/A,TRUE,"SEPT";#N/A,#N/A,TRUE,"3Q"}</definedName>
    <definedName name="summaryty." hidden="1">{#N/A,#N/A,TRUE,"KEY DATA";#N/A,#N/A,TRUE,"KEY DATA Base Case";#N/A,#N/A,TRUE,"JULY";#N/A,#N/A,TRUE,"AUG";#N/A,#N/A,TRUE,"SEPT";#N/A,#N/A,TRUE,"3Q"}</definedName>
    <definedName name="sumval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PPLIER" localSheetId="0" hidden="1">{#N/A,#N/A,FALSE,"IS";#N/A,#N/A,FALSE,"BS";#N/A,#N/A,FALSE,"RMA";#N/A,#N/A,FALSE,"INCOME";#N/A,#N/A,FALSE,"DCF";#N/A,#N/A,FALSE,"MARKET"}</definedName>
    <definedName name="SUPPLIER" hidden="1">{#N/A,#N/A,FALSE,"IS";#N/A,#N/A,FALSE,"BS";#N/A,#N/A,FALSE,"RMA";#N/A,#N/A,FALSE,"INCOME";#N/A,#N/A,FALSE,"DCF";#N/A,#N/A,FALSE,"MARKET"}</definedName>
    <definedName name="sv" hidden="1">#REF!</definedName>
    <definedName name="SVD" localSheetId="0" hidden="1">{"GuVGmbH",#N/A,FALSE,"ratios";"BilanzGmbH",#N/A,FALSE,"ratios";"BilanzKG",#N/A,FALSE,"ratios";"GuVKG",#N/A,FALSE,"ratios"}</definedName>
    <definedName name="SVD" hidden="1">{"GuVGmbH",#N/A,FALSE,"ratios";"BilanzGmbH",#N/A,FALSE,"ratios";"BilanzKG",#N/A,FALSE,"ratios";"GuVKG",#N/A,FALSE,"ratios"}</definedName>
    <definedName name="svdv" hidden="1">#REF!</definedName>
    <definedName name="svs" hidden="1">#REF!</definedName>
    <definedName name="svsdfvs" hidden="1">#REF!</definedName>
    <definedName name="svsdvs" hidden="1">#REF!</definedName>
    <definedName name="svsvsdvs" hidden="1">#REF!</definedName>
    <definedName name="Swadlincote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gf" localSheetId="0" hidden="1">{#N/A,#N/A,FALSE,"UNIT";#N/A,#N/A,FALSE,"UNIT";#N/A,#N/A,FALSE,"계정"}</definedName>
    <definedName name="swgf" hidden="1">{#N/A,#N/A,FALSE,"UNIT";#N/A,#N/A,FALSE,"UNIT";#N/A,#N/A,FALSE,"계정"}</definedName>
    <definedName name="swn" localSheetId="0" hidden="1">{"LBO Summary",#N/A,FALSE,"Summary"}</definedName>
    <definedName name="swn" hidden="1">{"LBO Summary",#N/A,FALSE,"Summary"}</definedName>
    <definedName name="Swvu.All." hidden="1">#REF!</definedName>
    <definedName name="Swvu.Commercial97." hidden="1">#REF!</definedName>
    <definedName name="Swvu.Détail." hidden="1">#REF!</definedName>
    <definedName name="Swvu.Expanded." hidden="1">#REF!</definedName>
    <definedName name="Swvu.Page4." hidden="1">#REF!</definedName>
    <definedName name="Swvu.Profit._.and._.Loss." hidden="1">#REF!</definedName>
    <definedName name="Swvu.sheet._.4." hidden="1">#REF!</definedName>
    <definedName name="Swvu.Summary._.Sheet." hidden="1">#REF!</definedName>
    <definedName name="Swvu.Synthèse." hidden="1">#REF!</definedName>
    <definedName name="Swvu.synthétique." hidden="1">#REF!</definedName>
    <definedName name="sxh" localSheetId="0" hidden="1">{#N/A,#N/A,FALSE,"AOP Summary";#N/A,#N/A,FALSE,"E.C. Reports";#N/A,#N/A,FALSE,"SADA";#N/A,#N/A,FALSE,"SADA VARIANCE";#N/A,#N/A,FALSE,"Market Share";#N/A,#N/A,FALSE,"Fisher Data"}</definedName>
    <definedName name="sxh" hidden="1">{#N/A,#N/A,FALSE,"AOP Summary";#N/A,#N/A,FALSE,"E.C. Reports";#N/A,#N/A,FALSE,"SADA";#N/A,#N/A,FALSE,"SADA VARIANCE";#N/A,#N/A,FALSE,"Market Share";#N/A,#N/A,FALSE,"Fisher Data"}</definedName>
    <definedName name="syn" localSheetId="0" hidden="1">{#N/A,#N/A,FALSE,"Cover";#N/A,#N/A,FALSE,"Assumptions";#N/A,#N/A,FALSE,"Acquirer";#N/A,#N/A,FALSE,"Target";#N/A,#N/A,FALSE,"Income Statement";#N/A,#N/A,FALSE,"Summary Tables"}</definedName>
    <definedName name="syn" hidden="1">{#N/A,#N/A,FALSE,"Cover";#N/A,#N/A,FALSE,"Assumptions";#N/A,#N/A,FALSE,"Acquirer";#N/A,#N/A,FALSE,"Target";#N/A,#N/A,FALSE,"Income Statement";#N/A,#N/A,FALSE,"Summary Tables"}</definedName>
    <definedName name="SZTKZKL" hidden="1">#REF!</definedName>
    <definedName name="t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ables" localSheetId="0" hidden="1">{"sales",#N/A,FALSE,"Sales";"sales existing",#N/A,FALSE,"Sales";"sales rd1",#N/A,FALSE,"Sales";"sales rd2",#N/A,FALSE,"Sales"}</definedName>
    <definedName name="Tables" hidden="1">{"sales",#N/A,FALSE,"Sales";"sales existing",#N/A,FALSE,"Sales";"sales rd1",#N/A,FALSE,"Sales";"sales rd2",#N/A,FALSE,"Sales"}</definedName>
    <definedName name="ta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x" localSheetId="0" hidden="1">{#N/A,#N/A,FALSE,"Variables";#N/A,#N/A,FALSE,"NPV Cashflows NZ$";#N/A,#N/A,FALSE,"Cashflows NZ$"}</definedName>
    <definedName name="Tax" hidden="1">{#N/A,#N/A,FALSE,"Variables";#N/A,#N/A,FALSE,"NPV Cashflows NZ$";#N/A,#N/A,FALSE,"Cashflows NZ$"}</definedName>
    <definedName name="taxcal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taxcal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tay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B_group" localSheetId="0" hidden="1">{"'Sell_Office'!$C$5:$D$6"}</definedName>
    <definedName name="TB_group" hidden="1">{"'Sell_Office'!$C$5:$D$6"}</definedName>
    <definedName name="TB_print" localSheetId="0" hidden="1">{"'Sell_Office'!$C$5:$D$6"}</definedName>
    <definedName name="TB_print" hidden="1">{"'Sell_Office'!$C$5:$D$6"}</definedName>
    <definedName name="tco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c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e4st55" localSheetId="0" hidden="1">{#N/A,#N/A,FALSE,"PAGE14";#N/A,#N/A,FALSE,"Page15";#N/A,#N/A,FALSE,"Page16";#N/A,#N/A,FALSE,"Page17";#N/A,#N/A,FALSE,"Page18";#N/A,#N/A,FALSE,"Page19";#N/A,#N/A,FALSE,"Page20"}</definedName>
    <definedName name="te4st55" hidden="1">{#N/A,#N/A,FALSE,"PAGE14";#N/A,#N/A,FALSE,"Page15";#N/A,#N/A,FALSE,"Page16";#N/A,#N/A,FALSE,"Page17";#N/A,#N/A,FALSE,"Page18";#N/A,#N/A,FALSE,"Page19";#N/A,#N/A,FALSE,"Page20"}</definedName>
    <definedName name="Tea" localSheetId="0" hidden="1">{"'Sell_Office'!$C$5:$D$6"}</definedName>
    <definedName name="Tea" hidden="1">{"'Sell_Office'!$C$5:$D$6"}</definedName>
    <definedName name="temp" localSheetId="0" hidden="1">{#N/A,#N/A,FALSE,"asset"}</definedName>
    <definedName name="temp" hidden="1">{#N/A,#N/A,FALSE,"asset"}</definedName>
    <definedName name="temp." localSheetId="0" hidden="1">{#N/A,#N/A,TRUE,"KEY DATA";#N/A,#N/A,TRUE,"KEY DATA Base Case";#N/A,#N/A,TRUE,"JULY";#N/A,#N/A,TRUE,"AUG";#N/A,#N/A,TRUE,"SEPT";#N/A,#N/A,TRUE,"3Q"}</definedName>
    <definedName name="temp." hidden="1">{#N/A,#N/A,TRUE,"KEY DATA";#N/A,#N/A,TRUE,"KEY DATA Base Case";#N/A,#N/A,TRUE,"JULY";#N/A,#N/A,TRUE,"AUG";#N/A,#N/A,TRUE,"SEPT";#N/A,#N/A,TRUE,"3Q"}</definedName>
    <definedName name="temp.1" localSheetId="0" hidden="1">{"bs",#N/A,FALSE,"SCF"}</definedName>
    <definedName name="temp.1" hidden="1">{"bs",#N/A,FALSE,"SCF"}</definedName>
    <definedName name="TEMP.XL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TEMP.XLS" hidden="1">{#N/A,#N/A,FALSE,"DIR-REP";#N/A,#N/A,FALSE,"AUD-REPORT";#N/A,#N/A,FALSE,"P7L&amp;BS";#N/A,#N/A,FALSE,"NOTES";#N/A,#N/A,FALSE,"FA";#N/A,#N/A,FALSE,"NOTES (2)";#N/A,#N/A,FALSE,"Schedule  IV";#N/A,#N/A,FALSE,"Schedule V"}</definedName>
    <definedName name="Temp_2" localSheetId="0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0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1" localSheetId="0" hidden="1">{"bs",#N/A,FALSE,"SCF"}</definedName>
    <definedName name="temp1" hidden="1">{"bs",#N/A,FALSE,"SCF"}</definedName>
    <definedName name="temp12" localSheetId="0" hidden="1">{#N/A,#N/A,TRUE,"KEY DATA";#N/A,#N/A,TRUE,"KEY DATA Base Case";#N/A,#N/A,TRUE,"JULY";#N/A,#N/A,TRUE,"AUG";#N/A,#N/A,TRUE,"SEPT";#N/A,#N/A,TRUE,"3Q"}</definedName>
    <definedName name="temp12" hidden="1">{#N/A,#N/A,TRUE,"KEY DATA";#N/A,#N/A,TRUE,"KEY DATA Base Case";#N/A,#N/A,TRUE,"JULY";#N/A,#N/A,TRUE,"AUG";#N/A,#N/A,TRUE,"SEPT";#N/A,#N/A,TRUE,"3Q"}</definedName>
    <definedName name="temp12." localSheetId="0" hidden="1">{#N/A,#N/A,TRUE,"KEY DATA";#N/A,#N/A,TRUE,"KEY DATA Base Case";#N/A,#N/A,TRUE,"JULY";#N/A,#N/A,TRUE,"AUG";#N/A,#N/A,TRUE,"SEPT";#N/A,#N/A,TRUE,"3Q"}</definedName>
    <definedName name="temp12." hidden="1">{#N/A,#N/A,TRUE,"KEY DATA";#N/A,#N/A,TRUE,"KEY DATA Base Case";#N/A,#N/A,TRUE,"JULY";#N/A,#N/A,TRUE,"AUG";#N/A,#N/A,TRUE,"SEPT";#N/A,#N/A,TRUE,"3Q"}</definedName>
    <definedName name="tepp" localSheetId="0" hidden="1">{#N/A,#N/A,FALSE,"Assets 31Mar01"}</definedName>
    <definedName name="tepp" hidden="1">{#N/A,#N/A,FALSE,"Assets 31Mar01"}</definedName>
    <definedName name="terh" localSheetId="0" hidden="1">{#N/A,#N/A,FALSE,"OffAdvance";#N/A,#N/A,FALSE,"OffExpRprt";#N/A,#N/A,FALSE,"Entertmnt";#N/A,#N/A,FALSE,"Promotion";#N/A,#N/A,FALSE,"Travelling"}</definedName>
    <definedName name="terh" hidden="1">{#N/A,#N/A,FALSE,"OffAdvance";#N/A,#N/A,FALSE,"OffExpRprt";#N/A,#N/A,FALSE,"Entertmnt";#N/A,#N/A,FALSE,"Promotion";#N/A,#N/A,FALSE,"Travelling"}</definedName>
    <definedName name="tertrt" localSheetId="0" hidden="1">{#N/A,#N/A,FALSE,"PAGE3";#N/A,#N/A,FALSE,"Pape4";#N/A,#N/A,FALSE,"Page5";#N/A,#N/A,FALSE,"PAGE6";#N/A,#N/A,FALSE,"Page7";#N/A,#N/A,FALSE,"Page8 971&amp;962";#N/A,#N/A,FALSE,"Page8 972&amp;971";#N/A,#N/A,FALSE,"Page9 971&amp;962";#N/A,#N/A,FALSE,"Page9 972&amp;972";#N/A,#N/A,FALSE,"PAGE10";#N/A,#N/A,FALSE,"Page11";#N/A,#N/A,FALSE,"page12";#N/A,#N/A,FALSE,"page13"}</definedName>
    <definedName name="tertrt" hidden="1">{#N/A,#N/A,FALSE,"PAGE3";#N/A,#N/A,FALSE,"Pape4";#N/A,#N/A,FALSE,"Page5";#N/A,#N/A,FALSE,"PAGE6";#N/A,#N/A,FALSE,"Page7";#N/A,#N/A,FALSE,"Page8 971&amp;962";#N/A,#N/A,FALSE,"Page8 972&amp;971";#N/A,#N/A,FALSE,"Page9 971&amp;962";#N/A,#N/A,FALSE,"Page9 972&amp;972";#N/A,#N/A,FALSE,"PAGE10";#N/A,#N/A,FALSE,"Page11";#N/A,#N/A,FALSE,"page12";#N/A,#N/A,FALSE,"page13"}</definedName>
    <definedName name="test" localSheetId="0" hidden="1">{"PAGE1",#N/A,FALSE,"YIELDS";"PAGE2",#N/A,FALSE,"YIELDS";"PAGE3",#N/A,FALSE,"YIELDS"}</definedName>
    <definedName name="test" hidden="1">{"PAGE1",#N/A,FALSE,"YIELDS";"PAGE2",#N/A,FALSE,"YIELDS";"PAGE3",#N/A,FALSE,"YIELDS"}</definedName>
    <definedName name="test.4" localSheetId="0" hidden="1">{"Padd I to III",#N/A,FALSE,"REFINERY";"Padd IV to US",#N/A,FALSE,"REFINERY";"Crude Balance I",#N/A,FALSE,"REFINERY";"Crude Balance II",#N/A,FALSE,"REFINERY"}</definedName>
    <definedName name="test.4" hidden="1">{"Padd I to III",#N/A,FALSE,"REFINERY";"Padd IV to US",#N/A,FALSE,"REFINERY";"Crude Balance I",#N/A,FALSE,"REFINERY";"Crude Balance II",#N/A,FALSE,"REFINERY"}</definedName>
    <definedName name="test.all" localSheetId="0" hidden="1">{"PAGE1",#N/A,FALSE,"YIELDS";"PAGE2",#N/A,FALSE,"YIELDS";"PAGE3",#N/A,FALSE,"YIELDS"}</definedName>
    <definedName name="test.all" hidden="1">{"PAGE1",#N/A,FALSE,"YIELDS";"PAGE2",#N/A,FALSE,"YIELDS";"PAGE3",#N/A,FALSE,"YIELDS"}</definedName>
    <definedName name="test_ns" localSheetId="0" hidden="1">{#N/A,#N/A,FALSE,"Bezirk SW";#N/A,#N/A,FALSE,"Dir S (GK)";#N/A,#N/A,FALSE,"Dir FR (PK)"}</definedName>
    <definedName name="test_ns" hidden="1">{#N/A,#N/A,FALSE,"Bezirk SW";#N/A,#N/A,FALSE,"Dir S (GK)";#N/A,#N/A,FALSE,"Dir FR (PK)"}</definedName>
    <definedName name="test1" localSheetId="0" hidden="1">{"Headcount Worksheet",#N/A,FALSE,"HEADCOUNT"}</definedName>
    <definedName name="test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test1_ns" localSheetId="0" hidden="1">{#N/A,#N/A,FALSE,"Bezirk SW";#N/A,#N/A,FALSE,"Dir S (GK)";#N/A,#N/A,FALSE,"Dir FR (PK)"}</definedName>
    <definedName name="test1_ns" hidden="1">{#N/A,#N/A,FALSE,"Bezirk SW";#N/A,#N/A,FALSE,"Dir S (GK)";#N/A,#N/A,FALSE,"Dir FR (PK)"}</definedName>
    <definedName name="test10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test1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test2" localSheetId="0" hidden="1">{"Data Worksheet",#N/A,FALSE,"CAREY97"}</definedName>
    <definedName name="test2" hidden="1">{"Data Worksheet",#N/A,FALSE,"CAREY97"}</definedName>
    <definedName name="test3" localSheetId="0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5" localSheetId="0" hidden="1">{"Results Worksheets",#N/A,FALSE,"RESULTS"}</definedName>
    <definedName name="test5" hidden="1">{"Results Worksheets",#N/A,FALSE,"RESULTS"}</definedName>
    <definedName name="test666" localSheetId="0" hidden="1">{#N/A,#N/A,FALSE,"PAGE3";#N/A,#N/A,FALSE,"Pape4";#N/A,#N/A,FALSE,"Page5";#N/A,#N/A,FALSE,"PAGE6";#N/A,#N/A,FALSE,"Page7";#N/A,#N/A,FALSE,"Page8 971&amp;962";#N/A,#N/A,FALSE,"Page8 972&amp;971";#N/A,#N/A,FALSE,"Page9 971&amp;962";#N/A,#N/A,FALSE,"Page9 972&amp;972";#N/A,#N/A,FALSE,"PAGE10";#N/A,#N/A,FALSE,"Page11";#N/A,#N/A,FALSE,"page12";#N/A,#N/A,FALSE,"page13"}</definedName>
    <definedName name="test666" hidden="1">{#N/A,#N/A,FALSE,"PAGE3";#N/A,#N/A,FALSE,"Pape4";#N/A,#N/A,FALSE,"Page5";#N/A,#N/A,FALSE,"PAGE6";#N/A,#N/A,FALSE,"Page7";#N/A,#N/A,FALSE,"Page8 971&amp;962";#N/A,#N/A,FALSE,"Page8 972&amp;971";#N/A,#N/A,FALSE,"Page9 971&amp;962";#N/A,#N/A,FALSE,"Page9 972&amp;972";#N/A,#N/A,FALSE,"PAGE10";#N/A,#N/A,FALSE,"Page11";#N/A,#N/A,FALSE,"page12";#N/A,#N/A,FALSE,"page13"}</definedName>
    <definedName name="tests" localSheetId="0" hidden="1">{#N/A,#N/A,FALSE,"F_Plan";#N/A,#N/A,FALSE,"Parameter"}</definedName>
    <definedName name="tests" hidden="1">{#N/A,#N/A,FALSE,"F_Plan";#N/A,#N/A,FALSE,"Parameter"}</definedName>
    <definedName name="TextRefCopyRangeCount" localSheetId="0" hidden="1">47</definedName>
    <definedName name="TextRefCopyRangeCount" hidden="1">1</definedName>
    <definedName name="tfhfthft" hidden="1">#REF!</definedName>
    <definedName name="tfill" hidden="1">#REF!</definedName>
    <definedName name="TFV" localSheetId="0" hidden="1">{#N/A,#N/A,FALSE,"Summary";#N/A,#N/A,FALSE,"Month";#N/A,#N/A,FALSE,"YTD";#N/A,#N/A,FALSE,"Charts"}</definedName>
    <definedName name="TFV" hidden="1">{#N/A,#N/A,FALSE,"Summary";#N/A,#N/A,FALSE,"Month";#N/A,#N/A,FALSE,"YTD";#N/A,#N/A,FALSE,"Charts"}</definedName>
    <definedName name="tg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g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gvu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gv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h" localSheetId="0" hidden="1">{"Print Summary",#N/A,FALSE,"Summary Analysis";"Print FCF",#N/A,FALSE,"FCF Analysis";"Print Sensitivity",#N/A,FALSE,"Sensitivity Analysis";"Print NAV",#N/A,FALSE,"NAV Analysis";"Print Credit",#N/A,FALSE,"Credit Analysis"}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e" localSheetId="0" hidden="1">{"Print Summary",#N/A,FALSE,"Summary Analysis";"Print FCF",#N/A,FALSE,"FCF Analysis";"Print Sensitivity",#N/A,FALSE,"Sensitivity Analysis";"Print NAV",#N/A,FALSE,"NAV Analysis";"Print Credit",#N/A,FALSE,"Credit Analysis"}</definedName>
    <definedName name="the" hidden="1">{#N/A,#N/A,FALSE,"Marketing";#N/A,#N/A,FALSE,"Selling";#N/A,#N/A,FALSE,"Promotional";#N/A,#N/A,FALSE,"Advertising"}</definedName>
    <definedName name="thh" localSheetId="0" hidden="1">{#N/A,#N/A,FALSE,"Cover";#N/A,#N/A,FALSE,"PAI";#N/A,#N/A,FALSE,"PALS991";#N/A,#N/A,FALSE,"PALS97A";#N/A,#N/A,FALSE,"AAHC";#N/A,#N/A,FALSE,"PCC";#N/A,#N/A,FALSE,"PAPs"}</definedName>
    <definedName name="thh" hidden="1">{#N/A,#N/A,FALSE,"Cover";#N/A,#N/A,FALSE,"PAI";#N/A,#N/A,FALSE,"PALS991";#N/A,#N/A,FALSE,"PALS97A";#N/A,#N/A,FALSE,"AAHC";#N/A,#N/A,FALSE,"PCC";#N/A,#N/A,FALSE,"PAPs"}</definedName>
    <definedName name="thierry" localSheetId="0" hidden="1">{"Totax",#N/A,FALSE,"Sheet1";#N/A,#N/A,FALSE,"Law Output"}</definedName>
    <definedName name="thierry" hidden="1">{"Totax",#N/A,FALSE,"Sheet1";#N/A,#N/A,FALSE,"Law Output"}</definedName>
    <definedName name="THTXHTRX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THTXHTRX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tim" localSheetId="0" hidden="1">{#N/A,#N/A,FALSE,"OVERVIEW";#N/A,#N/A,FALSE,"Position, %";#N/A,#N/A,FALSE,"ACCT919";#N/A,#N/A,FALSE,"ACCT920";#N/A,#N/A,FALSE,"MAD BOMBER"}</definedName>
    <definedName name="tim" hidden="1">{#N/A,#N/A,FALSE,"OVERVIEW";#N/A,#N/A,FALSE,"Position, %";#N/A,#N/A,FALSE,"ACCT919";#N/A,#N/A,FALSE,"ACCT920";#N/A,#N/A,FALSE,"MAD BOMBER"}</definedName>
    <definedName name="tingh" localSheetId="0" hidden="1">{#N/A,#N/A,FALSE,"AOP Summary";#N/A,#N/A,FALSE,"E.C. Reports";#N/A,#N/A,FALSE,"SADA";#N/A,#N/A,FALSE,"SADA VARIANCE";#N/A,#N/A,FALSE,"Market Share";#N/A,#N/A,FALSE,"Fisher Data"}</definedName>
    <definedName name="tingh" hidden="1">{#N/A,#N/A,FALSE,"AOP Summary";#N/A,#N/A,FALSE,"E.C. Reports";#N/A,#N/A,FALSE,"SADA";#N/A,#N/A,FALSE,"SADA VARIANCE";#N/A,#N/A,FALSE,"Market Share";#N/A,#N/A,FALSE,"Fisher Data"}</definedName>
    <definedName name="tisg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is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itle2Spot" hidden="1">#REF!</definedName>
    <definedName name="tja" localSheetId="0" hidden="1">{#N/A,#N/A,FALSE,"Aging Summary";#N/A,#N/A,FALSE,"Ratio Analysis";#N/A,#N/A,FALSE,"Test 120 Day Accts";#N/A,#N/A,FALSE,"Tickmarks"}</definedName>
    <definedName name="tja" hidden="1">{#N/A,#N/A,FALSE,"Aging Summary";#N/A,#N/A,FALSE,"Ratio Analysis";#N/A,#N/A,FALSE,"Test 120 Day Accts";#N/A,#N/A,FALSE,"Tickmarks"}</definedName>
    <definedName name="TJRTJTETJ" hidden="1">#REF!</definedName>
    <definedName name="tjxo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tjxot" hidden="1">{#N/A,#N/A,FALSE,"DIR-REP";#N/A,#N/A,FALSE,"AUD-REPORT";#N/A,#N/A,FALSE,"P7L&amp;BS";#N/A,#N/A,FALSE,"NOTES";#N/A,#N/A,FALSE,"FA";#N/A,#N/A,FALSE,"NOTES (2)";#N/A,#N/A,FALSE,"Schedule  IV";#N/A,#N/A,FALSE,"Schedule V"}</definedName>
    <definedName name="tlsm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s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talta" localSheetId="0" hidden="1">{#N/A,#N/A,FALSE,"TAXC.INDEX";#N/A,#N/A,FALSE,"Schedule I";#N/A,#N/A,FALSE,"Schedule  II";#N/A,#N/A,FALSE,"Schedule III"}</definedName>
    <definedName name="tltalta" hidden="1">{#N/A,#N/A,FALSE,"TAXC.INDEX";#N/A,#N/A,FALSE,"Schedule I";#N/A,#N/A,FALSE,"Schedule  II";#N/A,#N/A,FALSE,"Schedule III"}</definedName>
    <definedName name="tmp" localSheetId="0" hidden="1">{#N/A,#N/A,FALSE,"earnings"}</definedName>
    <definedName name="tmp" hidden="1">{#N/A,#N/A,FALSE,"earnings"}</definedName>
    <definedName name="tmp_333" hidden="1">#REF!</definedName>
    <definedName name="tmp_794" hidden="1">#REF!</definedName>
    <definedName name="tmp_839" hidden="1">#REF!</definedName>
    <definedName name="tmpLoadSedol" hidden="1">#REF!</definedName>
    <definedName name="TOC_Hdg_1" hidden="1">#REF!</definedName>
    <definedName name="TOC_Hdg_10" hidden="1">#REF!</definedName>
    <definedName name="TOC_Hdg_11" hidden="1">#REF!</definedName>
    <definedName name="TOC_Hdg_12" hidden="1">#REF!</definedName>
    <definedName name="TOC_Hdg_13" hidden="1">#REF!</definedName>
    <definedName name="TOC_Hdg_14" hidden="1">#REF!</definedName>
    <definedName name="TOC_Hdg_15" hidden="1">#REF!</definedName>
    <definedName name="TOC_Hdg_16" hidden="1">#REF!</definedName>
    <definedName name="TOC_Hdg_17" hidden="1">#REF!</definedName>
    <definedName name="TOC_Hdg_2" hidden="1">#REF!</definedName>
    <definedName name="TOC_Hdg_21" hidden="1">#REF!</definedName>
    <definedName name="TOC_Hdg_24" hidden="1">#REF!</definedName>
    <definedName name="TOC_Hdg_3" hidden="1">#REF!</definedName>
    <definedName name="TOC_Hdg_32" hidden="1">#REF!</definedName>
    <definedName name="TOC_Hdg_35" hidden="1">#REF!</definedName>
    <definedName name="TOC_Hdg_36" hidden="1">#REF!</definedName>
    <definedName name="TOC_Hdg_5" hidden="1">#REF!</definedName>
    <definedName name="TOC_Hdg_6" hidden="1">#REF!</definedName>
    <definedName name="TOC_Hdg_7" hidden="1">#REF!</definedName>
    <definedName name="TOC_Hdg_8" hidden="1">#REF!</definedName>
    <definedName name="TOC_Hdg_9" hidden="1">#REF!</definedName>
    <definedName name="todl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todl" hidden="1">{#N/A,#N/A,FALSE,"DIR-REP";#N/A,#N/A,FALSE,"AUD-REPORT";#N/A,#N/A,FALSE,"P7L&amp;BS";#N/A,#N/A,FALSE,"NOTES";#N/A,#N/A,FALSE,"FA";#N/A,#N/A,FALSE,"NOTES (2)";#N/A,#N/A,FALSE,"Schedule  IV";#N/A,#N/A,FALSE,"Schedule V"}</definedName>
    <definedName name="todoroki" hidden="1">#REF!</definedName>
    <definedName name="tole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tolet" hidden="1">{#N/A,#N/A,FALSE,"DIR-REP";#N/A,#N/A,FALSE,"AUD-REPORT";#N/A,#N/A,FALSE,"P7L&amp;BS";#N/A,#N/A,FALSE,"NOTES";#N/A,#N/A,FALSE,"FA";#N/A,#N/A,FALSE,"NOTES (2)";#N/A,#N/A,FALSE,"Schedule  IV";#N/A,#N/A,FALSE,"Schedule V"}</definedName>
    <definedName name="top" localSheetId="0" hidden="1">{"Page1",#N/A,FALSE,"CompCo";"Page2",#N/A,FALSE,"CompCo"}</definedName>
    <definedName name="top" hidden="1">{"Page1",#N/A,FALSE,"CompCo";"Page2",#N/A,FALSE,"CompCo"}</definedName>
    <definedName name="TotalyearwithoutDistortion" localSheetId="0" hidden="1">{#N/A,#N/A,FALSE,"Summary";#N/A,#N/A,FALSE,"C Mth";#N/A,#N/A,FALSE,"YTD";#N/A,#N/A,FALSE,"Highlight";#N/A,#N/A,FALSE,"Fcst";#N/A,#N/A,FALSE,"Fcst Highlight"}</definedName>
    <definedName name="TotalyearwithoutDistortion" hidden="1">{#N/A,#N/A,FALSE,"Summary";#N/A,#N/A,FALSE,"C Mth";#N/A,#N/A,FALSE,"YTD";#N/A,#N/A,FALSE,"Highlight";#N/A,#N/A,FALSE,"Fcst";#N/A,#N/A,FALSE,"Fcst Highlight"}</definedName>
    <definedName name="tradcomp" localSheetId="0" hidden="1">{#N/A,#N/A,FALSE,"Trading-Mult ";#N/A,#N/A,FALSE,"Trading-Cap";#N/A,#N/A,FALSE,"Trading-Inc";#N/A,#N/A,FALSE,"Cash Flow";#N/A,#N/A,FALSE,"M&amp;A info"}</definedName>
    <definedName name="tradcomp" hidden="1">{#N/A,#N/A,FALSE,"Trading-Mult ";#N/A,#N/A,FALSE,"Trading-Cap";#N/A,#N/A,FALSE,"Trading-Inc";#N/A,#N/A,FALSE,"Cash Flow";#N/A,#N/A,FALSE,"M&amp;A info"}</definedName>
    <definedName name="tradingcompar" localSheetId="0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dltla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dl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eeList" hidden="1">"11110000000000000000000000000000000000000000000000000000000000000000000000000000000000000000000000000000000000000000000000000000000000000000000000000000000000000000000000000000000000000000000000000000"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trhch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rhch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rial" localSheetId="0" hidden="1">{"bs",#N/A,FALSE,"SCF"}</definedName>
    <definedName name="trial" hidden="1">{"bs",#N/A,FALSE,"SCF"}</definedName>
    <definedName name="trialc" localSheetId="0" hidden="1">{"bs",#N/A,FALSE,"SCF"}</definedName>
    <definedName name="trialc" hidden="1">{"bs",#N/A,FALSE,"SCF"}</definedName>
    <definedName name="TRJEAJ" hidden="1">#REF!</definedName>
    <definedName name="trtl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y" hidden="1">#REF!</definedName>
    <definedName name="TRZL" hidden="1">#REF!</definedName>
    <definedName name="tsllo" localSheetId="0" hidden="1">{#N/A,#N/A,FALSE,"TAXC.INDEX";#N/A,#N/A,FALSE,"Schedule I";#N/A,#N/A,FALSE,"Schedule  II";#N/A,#N/A,FALSE,"Schedule III"}</definedName>
    <definedName name="tsllo" hidden="1">{#N/A,#N/A,FALSE,"TAXC.INDEX";#N/A,#N/A,FALSE,"Schedule I";#N/A,#N/A,FALSE,"Schedule  II";#N/A,#N/A,FALSE,"Schedule III"}</definedName>
    <definedName name="tso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s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" localSheetId="0" hidden="1">{#N/A,#N/A,FALSE,"Sheet1";#N/A,#N/A,FALSE,"Sheet2";#N/A,#N/A,FALSE,"Sheet3";#N/A,#N/A,FALSE,"Sheet4";#N/A,#N/A,FALSE,"Sheet5";#N/A,#N/A,FALSE,"Sheet6"}</definedName>
    <definedName name="tt" hidden="1">{#N/A,#N/A,FALSE,"Sheet1";#N/A,#N/A,FALSE,"Sheet2";#N/A,#N/A,FALSE,"Sheet3";#N/A,#N/A,FALSE,"Sheet4";#N/A,#N/A,FALSE,"Sheet5";#N/A,#N/A,FALSE,"Sheet6"}</definedName>
    <definedName name="tta" localSheetId="0" hidden="1">{#N/A,#N/A,FALSE,"Virgin Flightdeck"}</definedName>
    <definedName name="tta" hidden="1">{#N/A,#N/A,FALSE,"Virgin Flightdeck"}</definedName>
    <definedName name="ttt_1" localSheetId="0" hidden="1">{"'TYPE (2)'!$A$1:$Q$76"}</definedName>
    <definedName name="ttt_1" hidden="1">{"'TYPE (2)'!$A$1:$Q$76"}</definedName>
    <definedName name="ttttt" localSheetId="0" hidden="1">{#N/A,#N/A,FALSE,"Sheet1";#N/A,#N/A,FALSE,"Sheet2";#N/A,#N/A,FALSE,"Sheet3";#N/A,#N/A,FALSE,"Sheet4";#N/A,#N/A,FALSE,"Sheet5";#N/A,#N/A,FALSE,"Sheet6"}</definedName>
    <definedName name="ttttt" hidden="1">{#N/A,#N/A,FALSE,"Sheet1";#N/A,#N/A,FALSE,"Sheet2";#N/A,#N/A,FALSE,"Sheet3";#N/A,#N/A,FALSE,"Sheet4";#N/A,#N/A,FALSE,"Sheet5";#N/A,#N/A,FALSE,"Sheet6"}</definedName>
    <definedName name="tttttt" localSheetId="0" hidden="1">{#N/A,#N/A,FALSE,"PAGE31";#N/A,#N/A,FALSE,"Page32à34";#N/A,#N/A,FALSE,"PAGE35";#N/A,#N/A,FALSE,"POUCPG97"}</definedName>
    <definedName name="tttttt" hidden="1">{#N/A,#N/A,FALSE,"PAGE31";#N/A,#N/A,FALSE,"Page32à34";#N/A,#N/A,FALSE,"PAGE35";#N/A,#N/A,FALSE,"POUCPG97"}</definedName>
    <definedName name="tttttttt" localSheetId="0" hidden="1">{#N/A,#N/A,FALSE,"PAGE14";#N/A,#N/A,FALSE,"Page15";#N/A,#N/A,FALSE,"Page16";#N/A,#N/A,FALSE,"Page17";#N/A,#N/A,FALSE,"Page18";#N/A,#N/A,FALSE,"Page19";#N/A,#N/A,FALSE,"Page20"}</definedName>
    <definedName name="tttttttt" hidden="1">{#N/A,#N/A,FALSE,"PAGE14";#N/A,#N/A,FALSE,"Page15";#N/A,#N/A,FALSE,"Page16";#N/A,#N/A,FALSE,"Page17";#N/A,#N/A,FALSE,"Page18";#N/A,#N/A,FALSE,"Page19";#N/A,#N/A,FALSE,"Page20"}</definedName>
    <definedName name="ttttttttt" localSheetId="0" hidden="1">{"'Set-Out'!$A$1:$H$30"}</definedName>
    <definedName name="ttttttttt" hidden="1">{"'Set-Out'!$A$1:$H$30"}</definedName>
    <definedName name="tttttttttt" hidden="1">#REF!</definedName>
    <definedName name="ttttttttttt" localSheetId="0" hidden="1">{#N/A,#N/A,FALSE,"PAGE3";#N/A,#N/A,FALSE,"Pape4";#N/A,#N/A,FALSE,"Page5"}</definedName>
    <definedName name="ttttttttttt" hidden="1">{#N/A,#N/A,FALSE,"PAGE3";#N/A,#N/A,FALSE,"Pape4";#N/A,#N/A,FALSE,"Page5"}</definedName>
    <definedName name="ttttttttttttttt" localSheetId="0" hidden="1">{#N/A,#N/A,FALSE,"PAGE14";#N/A,#N/A,FALSE,"Page15";#N/A,#N/A,FALSE,"Page16";#N/A,#N/A,FALSE,"Page17";#N/A,#N/A,FALSE,"Page18";#N/A,#N/A,FALSE,"Page19";#N/A,#N/A,FALSE,"Page20"}</definedName>
    <definedName name="ttttttttttttttt" hidden="1">{#N/A,#N/A,FALSE,"PAGE14";#N/A,#N/A,FALSE,"Page15";#N/A,#N/A,FALSE,"Page16";#N/A,#N/A,FALSE,"Page17";#N/A,#N/A,FALSE,"Page18";#N/A,#N/A,FALSE,"Page19";#N/A,#N/A,FALSE,"Page20"}</definedName>
    <definedName name="tttttttttttttttt" hidden="1">#REF!</definedName>
    <definedName name="ttttttttttttttttt" localSheetId="0" hidden="1">{#N/A,#N/A,FALSE,"PAGE6";#N/A,#N/A,FALSE,"Page7";#N/A,#N/A,FALSE,"Page8";#N/A,#N/A,FALSE,"Page9"}</definedName>
    <definedName name="ttttttttttttttttt" hidden="1">{#N/A,#N/A,FALSE,"PAGE6";#N/A,#N/A,FALSE,"Page7";#N/A,#N/A,FALSE,"Page8";#N/A,#N/A,FALSE,"Page9"}</definedName>
    <definedName name="tttttttttttttttttttt" localSheetId="0" hidden="1">{#N/A,#N/A,FALSE,"PAGE10";#N/A,#N/A,FALSE,"Page11";#N/A,#N/A,FALSE,"page12";#N/A,#N/A,FALSE,"page13"}</definedName>
    <definedName name="tttttttttttttttttttt" hidden="1">{#N/A,#N/A,FALSE,"PAGE10";#N/A,#N/A,FALSE,"Page11";#N/A,#N/A,FALSE,"page12";#N/A,#N/A,FALSE,"page13"}</definedName>
    <definedName name="Tulsa" localSheetId="0" hidden="1">{#N/A,#N/A,FALSE,"Report Data";#N/A,#N/A,FALSE,"COMP POOL";#N/A,#N/A,FALSE,"COMP POOL NB95";#N/A,#N/A,FALSE,"COMP POOL NB94"}</definedName>
    <definedName name="Tulsa" hidden="1">{#N/A,#N/A,FALSE,"Report Data";#N/A,#N/A,FALSE,"COMP POOL";#N/A,#N/A,FALSE,"COMP POOL NB95";#N/A,#N/A,FALSE,"COMP POOL NB94"}</definedName>
    <definedName name="turn" localSheetId="0" hidden="1">{#N/A,#N/A,FALSE,"Summary";#N/A,#N/A,FALSE,"Month";#N/A,#N/A,FALSE,"YTD";#N/A,#N/A,FALSE,"Charts"}</definedName>
    <definedName name="turn" hidden="1">{#N/A,#N/A,FALSE,"Summary";#N/A,#N/A,FALSE,"Month";#N/A,#N/A,FALSE,"YTD";#N/A,#N/A,FALSE,"Charts"}</definedName>
    <definedName name="tuv" localSheetId="0" hidden="1">{#N/A,#N/A,FALSE,"II-2 POP.HH";#N/A,#N/A,FALSE,"II-3 AGE.DIST";#N/A,#N/A,FALSE,"II-4 HH.DIST";#N/A,#N/A,FALSE,"II-5 EMP.INDUS"}</definedName>
    <definedName name="tuv" hidden="1">{#N/A,#N/A,FALSE,"II-2 POP.HH";#N/A,#N/A,FALSE,"II-3 AGE.DIST";#N/A,#N/A,FALSE,"II-4 HH.DIST";#N/A,#N/A,FALSE,"II-5 EMP.INDUS"}</definedName>
    <definedName name="ty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ty" hidden="1">{#N/A,#N/A,FALSE,"DIR-REP";#N/A,#N/A,FALSE,"AUD-REPORT";#N/A,#N/A,FALSE,"P7L&amp;BS";#N/A,#N/A,FALSE,"NOTES";#N/A,#N/A,FALSE,"FA";#N/A,#N/A,FALSE,"NOTES (2)";#N/A,#N/A,FALSE,"Schedule  IV";#N/A,#N/A,FALSE,"Schedule V"}</definedName>
    <definedName name="tyhr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h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uiktyu" localSheetId="0" hidden="1">{#N/A,#N/A,FALSE,"COVER";#N/A,#N/A,FALSE,"Index";#N/A,#N/A,FALSE,"Non-Earning";#N/A,#N/A,FALSE,"Mortgage_Legal";#N/A,#N/A,FALSE,"Mortgages"}</definedName>
    <definedName name="tyuiktyu" hidden="1">{#N/A,#N/A,FALSE,"COVER";#N/A,#N/A,FALSE,"Index";#N/A,#N/A,FALSE,"Non-Earning";#N/A,#N/A,FALSE,"Mortgage_Legal";#N/A,#N/A,FALSE,"Mortgages"}</definedName>
    <definedName name="TZKTRKTR" hidden="1">#REF!</definedName>
    <definedName name="TZLSDTZ" hidden="1">#REF!</definedName>
    <definedName name="U" hidden="1">#REF!</definedName>
    <definedName name="uay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uay" hidden="1">{#N/A,#N/A,FALSE,"DIR-REP";#N/A,#N/A,FALSE,"AUD-REPORT";#N/A,#N/A,FALSE,"P7L&amp;BS";#N/A,#N/A,FALSE,"NOTES";#N/A,#N/A,FALSE,"FA";#N/A,#N/A,FALSE,"NOTES (2)";#N/A,#N/A,FALSE,"Schedule  IV";#N/A,#N/A,FALSE,"Schedule V"}</definedName>
    <definedName name="ufliuf" localSheetId="0" hidden="1">{#N/A,#N/A,FALSE,"Virgin Flightdeck"}</definedName>
    <definedName name="ufliuf" hidden="1">{#N/A,#N/A,FALSE,"Virgin Flightdeck"}</definedName>
    <definedName name="ui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ui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uiiuiui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uiiuiui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uil" localSheetId="0" hidden="1">{#N/A,#N/A,FALSE,"AOP Summary";#N/A,#N/A,FALSE,"E.C. Reports";#N/A,#N/A,FALSE,"SADA";#N/A,#N/A,FALSE,"SADA VARIANCE";#N/A,#N/A,FALSE,"Market Share";#N/A,#N/A,FALSE,"Fisher Data"}</definedName>
    <definedName name="uil" hidden="1">{#N/A,#N/A,FALSE,"AOP Summary";#N/A,#N/A,FALSE,"E.C. Reports";#N/A,#N/A,FALSE,"SADA";#N/A,#N/A,FALSE,"SADA VARIANCE";#N/A,#N/A,FALSE,"Market Share";#N/A,#N/A,FALSE,"Fisher Data"}</definedName>
    <definedName name="uio" localSheetId="0" hidden="1">{"mgmt forecast",#N/A,FALSE,"Mgmt Forecast";"dcf table",#N/A,FALSE,"Mgmt Forecast";"sensitivity",#N/A,FALSE,"Mgmt Forecast";"table inputs",#N/A,FALSE,"Mgmt Forecast";"calculations",#N/A,FALSE,"Mgmt Forecast"}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ou" localSheetId="0" hidden="1">{#N/A,#N/A,FALSE,"TAXC.INDEX";#N/A,#N/A,FALSE,"Schedule I";#N/A,#N/A,FALSE,"Schedule  II";#N/A,#N/A,FALSE,"Schedule III"}</definedName>
    <definedName name="uiou" hidden="1">{#N/A,#N/A,FALSE,"TAXC.INDEX";#N/A,#N/A,FALSE,"Schedule I";#N/A,#N/A,FALSE,"Schedule  II";#N/A,#N/A,FALSE,"Schedule III"}</definedName>
    <definedName name="uj" localSheetId="0" hidden="1">{"Headcount Worksheet",#N/A,FALSE,"HEADCOUNT"}</definedName>
    <definedName name="uj" hidden="1">{#N/A,#N/A,FALSE,"DIR-REP";#N/A,#N/A,FALSE,"AUD-REPORT";#N/A,#N/A,FALSE,"P7L&amp;BS";#N/A,#N/A,FALSE,"NOTES";#N/A,#N/A,FALSE,"FA";#N/A,#N/A,FALSE,"NOTES (2)";#N/A,#N/A,FALSE,"Schedule  IV";#N/A,#N/A,FALSE,"Schedule V"}</definedName>
    <definedName name="ULZUL" hidden="1">#REF!</definedName>
    <definedName name="undue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5R5C1" hidden="1">#REF!</definedName>
    <definedName name="Uor" localSheetId="0" hidden="1">{"'Eng (page2)'!$A$1:$D$52"}</definedName>
    <definedName name="Uor" hidden="1">{"'Eng (page2)'!$A$1:$D$52"}</definedName>
    <definedName name="ur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ur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USDollar" hidden="1">#REF!</definedName>
    <definedName name="uu" localSheetId="0" hidden="1">{#N/A,#N/A,FALSE,"TAXC.INDEX";#N/A,#N/A,FALSE,"Schedule I";#N/A,#N/A,FALSE,"Schedule  II";#N/A,#N/A,FALSE,"Schedule III"}</definedName>
    <definedName name="uu" hidden="1">{#N/A,#N/A,FALSE,"TAXC.INDEX";#N/A,#N/A,FALSE,"Schedule I";#N/A,#N/A,FALSE,"Schedule  II";#N/A,#N/A,FALSE,"Schedule III"}</definedName>
    <definedName name="uuu" localSheetId="0" hidden="1">{#N/A,#N/A,TRUE,"COVER";#N/A,#N/A,TRUE,"DIR";#N/A,#N/A,TRUE,"AUDIT"}</definedName>
    <definedName name="uuu" hidden="1">{#N/A,#N/A,TRUE,"COVER";#N/A,#N/A,TRUE,"DIR";#N/A,#N/A,TRUE,"AUDIT"}</definedName>
    <definedName name="uuuu" localSheetId="0" hidden="1">{#N/A,#N/A,FALSE,"Barranca"}</definedName>
    <definedName name="uuuu" hidden="1">{#N/A,#N/A,FALSE,"Barranca"}</definedName>
    <definedName name="uuuuu" localSheetId="0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uuuuu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uuuuuu" hidden="1">#REF!</definedName>
    <definedName name="uvw" localSheetId="0" hidden="1">{#N/A,#N/A,FALSE,"pop.hh";#N/A,#N/A,FALSE,"age.dist";#N/A,#N/A,FALSE,"hh.income";#N/A,#N/A,FALSE,"hh.chars"}</definedName>
    <definedName name="uvw" hidden="1">{#N/A,#N/A,FALSE,"pop.hh";#N/A,#N/A,FALSE,"age.dist";#N/A,#N/A,FALSE,"hh.income";#N/A,#N/A,FALSE,"hh.chars"}</definedName>
    <definedName name="uw" localSheetId="0" hidden="1">{#N/A,#N/A,FALSE,"Summary";#N/A,#N/A,FALSE,"Month";#N/A,#N/A,FALSE,"YTD";#N/A,#N/A,FALSE,"Charts"}</definedName>
    <definedName name="uw" hidden="1">{#N/A,#N/A,FALSE,"Summary";#N/A,#N/A,FALSE,"Month";#N/A,#N/A,FALSE,"YTD";#N/A,#N/A,FALSE,"Charts"}</definedName>
    <definedName name="uy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uy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uyfkf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i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y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YR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ry" localSheetId="0" hidden="1">{"mgmt forecast",#N/A,FALSE,"Mgmt Forecast";"dcf table",#N/A,FALSE,"Mgmt Forecast";"sensitivity",#N/A,FALSE,"Mgmt Forecast";"table inputs",#N/A,FALSE,"Mgmt Forecast";"calculations",#N/A,FALSE,"Mgmt Forecast"}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V_SUm" localSheetId="0" hidden="1">{#N/A,#N/A,FALSE,"Summary";#N/A,#N/A,FALSE,"Base Materials";#N/A,#N/A,FALSE,"Construction";#N/A,#N/A,FALSE,"Packaging";#N/A,#N/A,FALSE,"Transportation"}</definedName>
    <definedName name="V_SUm" hidden="1">{#N/A,#N/A,FALSE,"Summary";#N/A,#N/A,FALSE,"Base Materials";#N/A,#N/A,FALSE,"Construction";#N/A,#N/A,FALSE,"Packaging";#N/A,#N/A,FALSE,"Transportation"}</definedName>
    <definedName name="Vail" localSheetId="0" hidden="1">{"PVGraph2",#N/A,FALSE,"PV Data"}</definedName>
    <definedName name="Vail" hidden="1">{"PVGraph2",#N/A,FALSE,"PV Data"}</definedName>
    <definedName name="val" localSheetId="0" hidden="1">{#N/A,#N/A,FALSE,"Base Materials";#N/A,#N/A,FALSE,"Construction";#N/A,#N/A,FALSE,"Packaging";#N/A,#N/A,FALSE,"Transportation"}</definedName>
    <definedName name="val" hidden="1">{#N/A,#N/A,FALSE,"Base Materials";#N/A,#N/A,FALSE,"Construction";#N/A,#N/A,FALSE,"Packaging";#N/A,#N/A,FALSE,"Transportation"}</definedName>
    <definedName name="val\" localSheetId="0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3Q" localSheetId="0" hidden="1">{"annual",#N/A,FALSE,"IBMFIN";"bal sheet tracking",#N/A,FALSE,"IBMFIN";"prodrev",#N/A,FALSE,"IBMFIN";"quarterly",#N/A,FALSE,"IBMFIN"}</definedName>
    <definedName name="VAL3Q" hidden="1">{"annual",#N/A,FALSE,"IBMFIN";"bal sheet tracking",#N/A,FALSE,"IBMFIN";"prodrev",#N/A,FALSE,"IBMFIN";"quarterly",#N/A,FALSE,"IBMFIN"}</definedName>
    <definedName name="ValuationBAAMultiple" localSheetId="0" hidden="1">{#N/A,#N/A,TRUE,"Cover sheet";#N/A,#N/A,TRUE,"INPUTS";#N/A,#N/A,TRUE,"OUTPUTS";#N/A,#N/A,TRUE,"VALUATION"}</definedName>
    <definedName name="ValuationBAAMultiple" hidden="1">{#N/A,#N/A,TRUE,"Cover sheet";#N/A,#N/A,TRUE,"INPUTS";#N/A,#N/A,TRUE,"OUTPUTS";#N/A,#N/A,TRUE,"VALUATION"}</definedName>
    <definedName name="vay" localSheetId="0" hidden="1">{#N/A,#N/A,TRUE,"COVER";#N/A,#N/A,TRUE,"DIR";#N/A,#N/A,TRUE,"AUDIT"}</definedName>
    <definedName name="vay" hidden="1">{#N/A,#N/A,TRUE,"COVER";#N/A,#N/A,TRUE,"DIR";#N/A,#N/A,TRUE,"AUDIT"}</definedName>
    <definedName name="VB" localSheetId="0" hidden="1">{#N/A,#N/A,FALSE,"970301";#N/A,#N/A,FALSE,"970302";#N/A,#N/A,FALSE,"970303";#N/A,#N/A,FALSE,"970304";#N/A,#N/A,FALSE,"COM1";#N/A,#N/A,FALSE,"COM2"}</definedName>
    <definedName name="VB" hidden="1">{#N/A,#N/A,FALSE,"970301";#N/A,#N/A,FALSE,"970302";#N/A,#N/A,FALSE,"970303";#N/A,#N/A,FALSE,"970304";#N/A,#N/A,FALSE,"COM1";#N/A,#N/A,FALSE,"COM2"}</definedName>
    <definedName name="vbcvbv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cd" localSheetId="0" hidden="1">{"Headcount Worksheet",#N/A,FALSE,"HEADCOUNT"}</definedName>
    <definedName name="vcd" hidden="1">{"Headcount Worksheet",#N/A,FALSE,"HEADCOUNT"}</definedName>
    <definedName name="vcfg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f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n" localSheetId="0" hidden="1">{#N/A,#N/A,FALSE,"SMT1";#N/A,#N/A,FALSE,"SMT2";#N/A,#N/A,FALSE,"Summary";#N/A,#N/A,FALSE,"Graphs";#N/A,#N/A,FALSE,"4 Panel"}</definedName>
    <definedName name="vcn" hidden="1">{#N/A,#N/A,FALSE,"SMT1";#N/A,#N/A,FALSE,"SMT2";#N/A,#N/A,FALSE,"Summary";#N/A,#N/A,FALSE,"Graphs";#N/A,#N/A,FALSE,"4 Panel"}</definedName>
    <definedName name="ver1.01" hidden="1">#REF!</definedName>
    <definedName name="ver1.1" hidden="1">#REF!</definedName>
    <definedName name="VFDGR" localSheetId="0" hidden="1">{"en_tete",#N/A,FALSE,"Index";"vue",#N/A,FALSE,"P.-0";#N/A,#N/A,FALSE,"P.-1";#N/A,#N/A,FALSE,"P.- 2a";#N/A,#N/A,FALSE,"P.- 3";#N/A,#N/A,FALSE,"P.- 4";#N/A,#N/A,FALSE,"B.-4b";#N/A,#N/A,FALSE,"B.-8"}</definedName>
    <definedName name="VFDGR" hidden="1">{"en_tete",#N/A,FALSE,"Index";"vue",#N/A,FALSE,"P.-0";#N/A,#N/A,FALSE,"P.-1";#N/A,#N/A,FALSE,"P.- 2a";#N/A,#N/A,FALSE,"P.- 3";#N/A,#N/A,FALSE,"P.- 4";#N/A,#N/A,FALSE,"B.-4b";#N/A,#N/A,FALSE,"B.-8"}</definedName>
    <definedName name="VFE" hidden="1">#REF!</definedName>
    <definedName name="vg" localSheetId="0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vg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vgbh" localSheetId="0" hidden="1">{#N/A,#N/A,FALSE,"SUMMARY";#N/A,#N/A,FALSE,"DETAIL";#N/A,#N/A,FALSE,"VARIANCE"}</definedName>
    <definedName name="vgbh" hidden="1">{#N/A,#N/A,FALSE,"SUMMARY";#N/A,#N/A,FALSE,"DETAIL";#N/A,#N/A,FALSE,"VARIANCE"}</definedName>
    <definedName name="vgk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vgkt" hidden="1">{#N/A,#N/A,FALSE,"DIR-REP";#N/A,#N/A,FALSE,"AUD-REPORT";#N/A,#N/A,FALSE,"P7L&amp;BS";#N/A,#N/A,FALSE,"NOTES";#N/A,#N/A,FALSE,"FA";#N/A,#N/A,FALSE,"NOTES (2)";#N/A,#N/A,FALSE,"Schedule  IV";#N/A,#N/A,FALSE,"Schedule V"}</definedName>
    <definedName name="VHKCVHKVKCH" hidden="1">#REF!</definedName>
    <definedName name="VHKVHKCVHKVHKCVHK" hidden="1">#REF!</definedName>
    <definedName name="vin" hidden="1">#REF!</definedName>
    <definedName name="vince" localSheetId="0" hidden="1">{#N/A,#N/A,TRUE,"Cover sheet";#N/A,#N/A,TRUE,"DCF analysis";#N/A,#N/A,TRUE,"WACC calculation"}</definedName>
    <definedName name="vince" hidden="1">{#N/A,#N/A,TRUE,"Cover sheet";#N/A,#N/A,TRUE,"DCF analysis";#N/A,#N/A,TRUE,"WACC calculation"}</definedName>
    <definedName name="VIS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VIS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visual" localSheetId="0" hidden="1">{#N/A,#N/A,FALSE,"CONFIGURATION";#N/A,#N/A,FALSE,"CALC TOOLS-PARTS"}</definedName>
    <definedName name="visual" hidden="1">{#N/A,#N/A,FALSE,"CONFIGURATION";#N/A,#N/A,FALSE,"CALC TOOLS-PARTS"}</definedName>
    <definedName name="vj" localSheetId="0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j" hidden="1">{#N/A,#N/A,TRUE,"COVER";#N/A,#N/A,TRUE,"DIR";#N/A,#N/A,TRUE,"AUDIT"}</definedName>
    <definedName name="vjdfo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vjdfo" hidden="1">{#N/A,#N/A,FALSE,"DIR-REP";#N/A,#N/A,FALSE,"AUD-REPORT";#N/A,#N/A,FALSE,"P7L&amp;BS";#N/A,#N/A,FALSE,"NOTES";#N/A,#N/A,FALSE,"FA";#N/A,#N/A,FALSE,"NOTES (2)";#N/A,#N/A,FALSE,"Schedule  IV";#N/A,#N/A,FALSE,"Schedule V"}</definedName>
    <definedName name="vjkxj" hidden="1">#REF!</definedName>
    <definedName name="vjo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jzk" hidden="1">#REF!</definedName>
    <definedName name="VKKVHHK" hidden="1">#REF!</definedName>
    <definedName name="vlle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vlle" hidden="1">{#N/A,#N/A,FALSE,"DIR-REP";#N/A,#N/A,FALSE,"AUD-REPORT";#N/A,#N/A,FALSE,"P7L&amp;BS";#N/A,#N/A,FALSE,"NOTES";#N/A,#N/A,FALSE,"FA";#N/A,#N/A,FALSE,"NOTES (2)";#N/A,#N/A,FALSE,"Schedule  IV";#N/A,#N/A,FALSE,"Schedule V"}</definedName>
    <definedName name="VNV" hidden="1">#REF!</definedName>
    <definedName name="vr" localSheetId="0" hidden="1">{"Results Worksheets",#N/A,FALSE,"RESULTS"}</definedName>
    <definedName name="vr" hidden="1">{"Results Worksheets",#N/A,FALSE,"RESULTS"}</definedName>
    <definedName name="VRC" localSheetId="0" hidden="1">{"Area1",#N/A,FALSE,"OREWACC";"Area2",#N/A,FALSE,"OREWACC"}</definedName>
    <definedName name="VRC" hidden="1">{"Area1",#N/A,FALSE,"OREWACC";"Area2",#N/A,FALSE,"OREWACC"}</definedName>
    <definedName name="vrevrdvsfdvfd" hidden="1">#REF!</definedName>
    <definedName name="vrn.march.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vrn.march.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VTM_1" hidden="1">#REF!</definedName>
    <definedName name="VTM_13" hidden="1">#REF!</definedName>
    <definedName name="VTM_14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hidden="1">#REF!</definedName>
    <definedName name="VTM_20" hidden="1">#REF!</definedName>
    <definedName name="VTM_21" hidden="1">#REF!</definedName>
    <definedName name="VTM_22" hidden="1">#REF!</definedName>
    <definedName name="VTM_23" hidden="1">#REF!</definedName>
    <definedName name="VTM_24" hidden="1">#REF!</definedName>
    <definedName name="VTM_25" hidden="1">#REF!</definedName>
    <definedName name="VTM_26" hidden="1">#REF!</definedName>
    <definedName name="VTM_27" hidden="1">#REF!</definedName>
    <definedName name="VTM_28" hidden="1">#REF!</definedName>
    <definedName name="VTM_29" hidden="1">#REF!</definedName>
    <definedName name="VTM_3" hidden="1">#REF!</definedName>
    <definedName name="VTM_30" hidden="1">#REF!,#REF!</definedName>
    <definedName name="VTM_31" hidden="1">#REF!</definedName>
    <definedName name="VTM_32" hidden="1">#REF!</definedName>
    <definedName name="VTM_33" hidden="1">#REF!</definedName>
    <definedName name="VTM_34" hidden="1">#REF!</definedName>
    <definedName name="VTM_35" hidden="1">#REF!</definedName>
    <definedName name="VTM_36" hidden="1">#REF!</definedName>
    <definedName name="VTM_37" hidden="1">#REF!</definedName>
    <definedName name="VTM_38" hidden="1">#REF!</definedName>
    <definedName name="VTM_39" hidden="1">#REF!</definedName>
    <definedName name="VTM_4" hidden="1">#REF!</definedName>
    <definedName name="VTM_40" hidden="1">#REF!</definedName>
    <definedName name="VTM_41" hidden="1">#REF!</definedName>
    <definedName name="VTM_42" hidden="1">#REF!</definedName>
    <definedName name="VTM_43" hidden="1">#REF!</definedName>
    <definedName name="VTM_44" hidden="1">#REF!</definedName>
    <definedName name="VTM_45" hidden="1">#REF!</definedName>
    <definedName name="VTM_46" hidden="1">#REF!</definedName>
    <definedName name="VTM_47" hidden="1">#REF!</definedName>
    <definedName name="VTM_48" hidden="1">#REF!</definedName>
    <definedName name="VTM_5" hidden="1">#REF!</definedName>
    <definedName name="VTM_6" hidden="1">#REF!</definedName>
    <definedName name="VTM_7" hidden="1">#REF!,#REF!,#REF!,#REF!</definedName>
    <definedName name="VTM_8" hidden="1">#REF!,#REF!,#REF!,#REF!</definedName>
    <definedName name="vu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vu" hidden="1">{#N/A,#N/A,FALSE,"DIR-REP";#N/A,#N/A,FALSE,"AUD-REPORT";#N/A,#N/A,FALSE,"P7L&amp;BS";#N/A,#N/A,FALSE,"NOTES";#N/A,#N/A,FALSE,"FA";#N/A,#N/A,FALSE,"NOTES (2)";#N/A,#N/A,FALSE,"Schedule  IV";#N/A,#N/A,FALSE,"Schedule V"}</definedName>
    <definedName name="vvsvsdfvsdf" hidden="1">#REF!</definedName>
    <definedName name="vvv" localSheetId="0" hidden="1">{"ReportTop",#N/A,FALSE,"report top"}</definedName>
    <definedName name="vvv" hidden="1">{"ReportTop",#N/A,FALSE,"report top"}</definedName>
    <definedName name="vvvv" localSheetId="0" hidden="1">{#N/A,#N/A,FALSE,"FAB VENDORS";"BUD SUM",#N/A,FALSE,"BUD SUM WO TEX"}</definedName>
    <definedName name="vvvv" hidden="1">{#N/A,#N/A,FALSE,"Detail";#N/A,#N/A,FALSE,"%s";#N/A,#N/A,FALSE,"Fund I";#N/A,#N/A,FALSE,"Fund II ";#N/A,#N/A,FALSE,"Fund III";#N/A,#N/A,FALSE,"public companies"}</definedName>
    <definedName name="vvvvv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v" localSheetId="0" hidden="1">{#N/A,#N/A,TRUE,"Fiber_Optic_Cable_Input ";#N/A,#N/A,TRUE,"Specialty_Fiber_Devices_Input";#N/A,#N/A,TRUE,"Optical_Fiber_Apparatus_Input"}</definedName>
    <definedName name="vvvvvv" hidden="1">{#N/A,#N/A,TRUE,"Fiber_Optic_Cable_Input ";#N/A,#N/A,TRUE,"Specialty_Fiber_Devices_Input";#N/A,#N/A,TRUE,"Optical_Fiber_Apparatus_Input"}</definedName>
    <definedName name="vvvvvvv" localSheetId="0" hidden="1">{#N/A,#N/A,TRUE,"Falcons_Standalone";#N/A,#N/A,TRUE,"Target_Input";#N/A,#N/A,TRUE,"Target_Calendarized"}</definedName>
    <definedName name="vvvvvvv" hidden="1">{#N/A,#N/A,TRUE,"Falcons_Standalone";#N/A,#N/A,TRUE,"Target_Input";#N/A,#N/A,TRUE,"Target_Calendarized"}</definedName>
    <definedName name="vvvvvvvv" localSheetId="0" hidden="1">{#N/A,#N/A,TRUE,"FOC_Product_Assumptions"}</definedName>
    <definedName name="vvvvvvvv" hidden="1">{#N/A,#N/A,TRUE,"FOC_Product_Assumptions"}</definedName>
    <definedName name="vvvvvvvvv" localSheetId="0" hidden="1">{#N/A,#N/A,FALSE,"Consolidated Shipley";#N/A,#N/A,FALSE,"Consolidated PWB";#N/A,#N/A,FALSE,"Consolidated Micro"}</definedName>
    <definedName name="vvvvvvvvv" hidden="1">{#N/A,#N/A,FALSE,"Consolidated Shipley";#N/A,#N/A,FALSE,"Consolidated PWB";#N/A,#N/A,FALSE,"Consolidated Micro"}</definedName>
    <definedName name="vz" localSheetId="0" hidden="1">{"mgmt forecast",#N/A,FALSE,"Mgmt Forecast";"dcf table",#N/A,FALSE,"Mgmt Forecast";"sensitivity",#N/A,FALSE,"Mgmt Forecast";"table inputs",#N/A,FALSE,"Mgmt Forecast";"calculations",#N/A,FALSE,"Mgmt Forecast"}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DX" localSheetId="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DX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x" localSheetId="0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localSheetId="0" hidden="1">{#N/A,#N/A,FALSE,"OffAdvance";#N/A,#N/A,FALSE,"OffExpRprt";#N/A,#N/A,FALSE,"Entertmnt";#N/A,#N/A,FALSE,"Promotion";#N/A,#N/A,FALSE,"Travelling"}</definedName>
    <definedName name="w" hidden="1">{#N/A,#N/A,FALSE,"OffAdvance";#N/A,#N/A,FALSE,"OffExpRprt";#N/A,#N/A,FALSE,"Entertmnt";#N/A,#N/A,FALSE,"Promotion";#N/A,#N/A,FALSE,"Travelling"}</definedName>
    <definedName name="w3e" localSheetId="0" hidden="1">{#N/A,#N/A,FALSE,"Carterco"}</definedName>
    <definedName name="w3e" hidden="1">{#N/A,#N/A,FALSE,"Carterco"}</definedName>
    <definedName name="WACC_new" localSheetId="0" hidden="1">{#N/A,#N/A,FALSE,"Virgin Flightdeck"}</definedName>
    <definedName name="WACC_new" hidden="1">{#N/A,#N/A,FALSE,"Virgin Flightdeck"}</definedName>
    <definedName name="Waccc2" localSheetId="0" hidden="1">{#N/A,#N/A,TRUE,"Cover sheet";#N/A,#N/A,TRUE,"INPUTS";#N/A,#N/A,TRUE,"OUTPUTS";#N/A,#N/A,TRUE,"VALUATION"}</definedName>
    <definedName name="Waccc2" hidden="1">{#N/A,#N/A,TRUE,"Cover sheet";#N/A,#N/A,TRUE,"INPUTS";#N/A,#N/A,TRUE,"OUTPUTS";#N/A,#N/A,TRUE,"VALUATION"}</definedName>
    <definedName name="wafe" localSheetId="0" hidden="1">{"summary1",#N/A,TRUE,"Comps";"summary2",#N/A,TRUE,"Comps";"summary3",#N/A,TRUE,"Comps"}</definedName>
    <definedName name="wafe" hidden="1">{"summary1",#N/A,TRUE,"Comps";"summary2",#N/A,TRUE,"Comps";"summary3",#N/A,TRUE,"Comps"}</definedName>
    <definedName name="wan" localSheetId="0" hidden="1">{"COMBINED",#N/A,FALSE,"BALANCE SHEET 2";"KRONE",#N/A,FALSE,"BALANCE SHEET 2";"INTERSYSTEMS",#N/A,FALSE,"BALANCE SHEET 2"}</definedName>
    <definedName name="wan" hidden="1">{"COMBINED",#N/A,FALSE,"BALANCE SHEET 2";"KRONE",#N/A,FALSE,"BALANCE SHEET 2";"INTERSYSTEMS",#N/A,FALSE,"BALANCE SHEET 2"}</definedName>
    <definedName name="WARZ" hidden="1">#REF!</definedName>
    <definedName name="way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a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bm" localSheetId="0" hidden="1">{"bs",#N/A,FALSE,"SCF"}</definedName>
    <definedName name="wbm" hidden="1">{"bs",#N/A,FALSE,"SCF"}</definedName>
    <definedName name="wbs" localSheetId="0" hidden="1">{"bs",#N/A,FALSE,"SCF"}</definedName>
    <definedName name="wbs" hidden="1">{"bs",#N/A,FALSE,"SCF"}</definedName>
    <definedName name="wd" hidden="1">255</definedName>
    <definedName name="WEA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b" localSheetId="0" hidden="1">{#N/A,#N/A,FALSE,"Inputs - Prices &amp; Forecasts"}</definedName>
    <definedName name="Web" hidden="1">{#N/A,#N/A,FALSE,"Inputs - Prices &amp; Forecasts"}</definedName>
    <definedName name="week34" localSheetId="0" hidden="1">{#N/A,#N/A,FALSE,"Eff-SSC2"}</definedName>
    <definedName name="week34" hidden="1">{#N/A,#N/A,FALSE,"Eff-SSC2"}</definedName>
    <definedName name="week35" localSheetId="0" hidden="1">{#N/A,#N/A,FALSE,"Eff-SSC2"}</definedName>
    <definedName name="week35" hidden="1">{#N/A,#N/A,FALSE,"Eff-SSC2"}</definedName>
    <definedName name="week36" localSheetId="0" hidden="1">{#N/A,#N/A,FALSE,"Eff-SSC2"}</definedName>
    <definedName name="week36" hidden="1">{#N/A,#N/A,FALSE,"Eff-SSC2"}</definedName>
    <definedName name="week38" localSheetId="0" hidden="1">{#N/A,#N/A,FALSE,"Eff-SSC2"}</definedName>
    <definedName name="week38" hidden="1">{#N/A,#N/A,FALSE,"Eff-SSC2"}</definedName>
    <definedName name="wef4f" localSheetId="0" hidden="1">{"GuVGmbH",#N/A,FALSE,"ratios";"BilanzGmbH",#N/A,FALSE,"ratios";"BilanzKG",#N/A,FALSE,"ratios";"GuVKG",#N/A,FALSE,"ratios"}</definedName>
    <definedName name="wef4f" hidden="1">{"GuVGmbH",#N/A,FALSE,"ratios";"BilanzGmbH",#N/A,FALSE,"ratios";"BilanzKG",#N/A,FALSE,"ratios";"GuVKG",#N/A,FALSE,"ratios"}</definedName>
    <definedName name="wefa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sdfasdf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WEF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FWEF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g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g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ls" localSheetId="0" hidden="1">{#N/A,#N/A,FALSE,"TAXC.INDEX";#N/A,#N/A,FALSE,"Schedule I";#N/A,#N/A,FALSE,"Schedule  II";#N/A,#N/A,FALSE,"Schedule III"}</definedName>
    <definedName name="wels" hidden="1">{#N/A,#N/A,FALSE,"TAXC.INDEX";#N/A,#N/A,FALSE,"Schedule I";#N/A,#N/A,FALSE,"Schedule  II";#N/A,#N/A,FALSE,"Schedule III"}</definedName>
    <definedName name="Wem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em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en.summe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en.summe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EQQE" localSheetId="0" hidden="1">{"summary1",#N/A,TRUE,"Comps";"summary2",#N/A,TRUE,"Comps";"summary3",#N/A,TRUE,"Comps"}</definedName>
    <definedName name="WEQQE" hidden="1">{"summary1",#N/A,TRUE,"Comps";"summary2",#N/A,TRUE,"Comps";"summary3",#N/A,TRUE,"Comps"}</definedName>
    <definedName name="wer" localSheetId="0" hidden="1">{"cashflow",#N/A,FALSE,"Fin'l Stmts.";"income",#N/A,FALSE,"Fin'l Stmts.";"balance",#N/A,FALSE,"Fin'l Stmts.";"capital",#N/A,FALSE,"Fin'l Stmts."}</definedName>
    <definedName name="wer" hidden="1">{"cashflow",#N/A,FALSE,"Fin'l Stmts.";"income",#N/A,FALSE,"Fin'l Stmts.";"balance",#N/A,FALSE,"Fin'l Stmts.";"capital",#N/A,FALSE,"Fin'l Stmts."}</definedName>
    <definedName name="wer.def" localSheetId="0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er.def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eraw" localSheetId="0" hidden="1">{"mgmt forecast",#N/A,FALSE,"Mgmt Forecast";"dcf table",#N/A,FALSE,"Mgmt Forecast";"sensitivity",#N/A,FALSE,"Mgmt Forecast";"table inputs",#N/A,FALSE,"Mgmt Forecast";"calculations",#N/A,FALSE,"Mgmt Forecast"}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localSheetId="0" hidden="1">{#N/A,#N/A,FALSE,"EXP97"}</definedName>
    <definedName name="were" hidden="1">{#N/A,#N/A,FALSE,"Spread";#N/A,#N/A,FALSE,"input items";#N/A,#N/A,FALSE,"EAF LLC K-1";#N/A,#N/A,FALSE,"Sched D";#N/A,#N/A,FALSE,"1065";#N/A,#N/A,FALSE,"Marubeni Transfer";#N/A,#N/A,FALSE,"2000 Distributions";#N/A,#N/A,FALSE,"2000 Income Allocation";#N/A,#N/A,FALSE,"Cost Basis-stock distrib";#N/A,#N/A,FALSE,"Cap Call Summary"}</definedName>
    <definedName name="WERH" hidden="1">#REF!</definedName>
    <definedName name="werr" localSheetId="0" hidden="1">{"M6Print",#N/A,FALSE,"M6";"M6_1Print",#N/A,FALSE,"M6_1";"M6_2Print",#N/A,FALSE,"M6_2"}</definedName>
    <definedName name="werr" hidden="1">{"M6Print",#N/A,FALSE,"M6";"M6_1Print",#N/A,FALSE,"M6_1";"M6_2Print",#N/A,FALSE,"M6_2"}</definedName>
    <definedName name="werwefasd" localSheetId="0" hidden="1">#REF!</definedName>
    <definedName name="werwefasd" hidden="1">#REF!</definedName>
    <definedName name="WERWW" hidden="1">#REF!</definedName>
    <definedName name="WERZ" hidden="1">#REF!</definedName>
    <definedName name="WET" hidden="1">#REF!</definedName>
    <definedName name="wetrwergfwer" localSheetId="0" hidden="1">{"cap_structure",#N/A,FALSE,"Graph-Mkt Cap";"price",#N/A,FALSE,"Graph-Price";"ebit",#N/A,FALSE,"Graph-EBITDA";"ebitda",#N/A,FALSE,"Graph-EBITDA"}</definedName>
    <definedName name="wetrwergfwer" hidden="1">{"cap_structure",#N/A,FALSE,"Graph-Mkt Cap";"price",#N/A,FALSE,"Graph-Price";"ebit",#N/A,FALSE,"Graph-EBITDA";"ebitda",#N/A,FALSE,"Graph-EBITDA"}</definedName>
    <definedName name="wetwet" localSheetId="0" hidden="1">{"GuVGmbH",#N/A,FALSE,"ratios";"BilanzGmbH",#N/A,FALSE,"ratios";"BilanzKG",#N/A,FALSE,"ratios";"GuVKG",#N/A,FALSE,"ratios"}</definedName>
    <definedName name="wetwet" hidden="1">{"GuVGmbH",#N/A,FALSE,"ratios";"BilanzGmbH",#N/A,FALSE,"ratios";"BilanzKG",#N/A,FALSE,"ratios";"GuVKG",#N/A,FALSE,"ratios"}</definedName>
    <definedName name="wetwetwet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twetwet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v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v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vwev" localSheetId="0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evwev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ew" localSheetId="0" hidden="1">{#N/A,#N/A,FALSE,"Sheet1"}</definedName>
    <definedName name="wew" hidden="1">{#N/A,#N/A,FALSE,"Sheet1"}</definedName>
    <definedName name="wewewe" localSheetId="0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ewewe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EWEWTWETWET" hidden="1">#REF!</definedName>
    <definedName name="wewrrht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wrrht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FT" localSheetId="0" hidden="1">{"Area1",#N/A,FALSE,"OREWACC";"Area2",#N/A,FALSE,"OREWACC"}</definedName>
    <definedName name="WFT" hidden="1">{"Area1",#N/A,FALSE,"OREWACC";"Area2",#N/A,FALSE,"OREWACC"}</definedName>
    <definedName name="what" localSheetId="0" hidden="1">{#N/A,#N/A,FALSE,"Assessment";#N/A,#N/A,FALSE,"Staffing";#N/A,#N/A,FALSE,"Hires";#N/A,#N/A,FALSE,"Assumptions"}</definedName>
    <definedName name="what" hidden="1">{#N/A,#N/A,FALSE,"Assessment";#N/A,#N/A,FALSE,"Staffing";#N/A,#N/A,FALSE,"Hires";#N/A,#N/A,FALSE,"Assumptions"}</definedName>
    <definedName name="whocares" hidden="1">#REF!</definedName>
    <definedName name="WHRwhrWHR" localSheetId="0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HRwhrWH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hrWHRwhrWR" localSheetId="0" hidden="1">{"GuVGmbH",#N/A,FALSE,"ratios";"BilanzGmbH",#N/A,FALSE,"ratios";"BilanzKG",#N/A,FALSE,"ratios";"GuVKG",#N/A,FALSE,"ratios"}</definedName>
    <definedName name="whrWHRwhrWR" hidden="1">{"GuVGmbH",#N/A,FALSE,"ratios";"BilanzGmbH",#N/A,FALSE,"ratios";"BilanzKG",#N/A,FALSE,"ratios";"GuVKG",#N/A,FALSE,"ratios"}</definedName>
    <definedName name="whrWHRwrhWRHwrh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hrWHRwrhWRHwr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HRwr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HRw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HRwrh" localSheetId="0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HRw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IP" localSheetId="0" hidden="1">{"Summary",#N/A,FALSE,"Summary"}</definedName>
    <definedName name="WIP" hidden="1">{"Summary",#N/A,FALSE,"Summary"}</definedName>
    <definedName name="wkrp" localSheetId="0" hidden="1">{"Area1",#N/A,FALSE,"OREWACC";"Area2",#N/A,FALSE,"OREWACC"}</definedName>
    <definedName name="wkrp" hidden="1">{"Area1",#N/A,FALSE,"OREWACC";"Area2",#N/A,FALSE,"OREWACC"}</definedName>
    <definedName name="wld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d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m.tiger.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o" localSheetId="0" hidden="1">{#N/A,#N/A,FALSE,"负债表"}</definedName>
    <definedName name="wo" hidden="1">{#N/A,#N/A,FALSE,"负债表"}</definedName>
    <definedName name="woodflow" localSheetId="0" hidden="1">{#N/A,#N/A,FALSE,"Variables";#N/A,#N/A,FALSE,"NPV Cashflows NZ$";#N/A,#N/A,FALSE,"Cashflows NZ$"}</definedName>
    <definedName name="woodflow" hidden="1">{#N/A,#N/A,FALSE,"Variables";#N/A,#N/A,FALSE,"NPV Cashflows NZ$";#N/A,#N/A,FALSE,"Cashflows NZ$"}</definedName>
    <definedName name="Woods" hidden="1">#REF!</definedName>
    <definedName name="wor" localSheetId="0" hidden="1">{"M1sPrint",#N/A,FALSE,"M1s"}</definedName>
    <definedName name="wor" hidden="1">{"M1sPrint",#N/A,FALSE,"M1s"}</definedName>
    <definedName name="WQ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6tqh" localSheetId="0" hidden="1">{#N/A,#N/A,FALSE,"Brasil";#N/A,#N/A,FALSE,"Brasil"}</definedName>
    <definedName name="wqe6tqh" hidden="1">{#N/A,#N/A,FALSE,"Brasil";#N/A,#N/A,FALSE,"Brasil"}</definedName>
    <definedName name="wqew" hidden="1">#REF!</definedName>
    <definedName name="wqqw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qq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qs" localSheetId="0" hidden="1">{"MonthlyRentRoll",#N/A,FALSE,"RentRoll"}</definedName>
    <definedName name="wqs" hidden="1">{"MonthlyRentRoll",#N/A,FALSE,"RentRoll"}</definedName>
    <definedName name="wqwe2q111" localSheetId="0" hidden="1">{#N/A,#N/A,FALSE,"TAXC.INDEX";#N/A,#N/A,FALSE,"Schedule I";#N/A,#N/A,FALSE,"Schedule  II";#N/A,#N/A,FALSE,"Schedule III"}</definedName>
    <definedName name="wqwe2q111" hidden="1">{#N/A,#N/A,FALSE,"TAXC.INDEX";#N/A,#N/A,FALSE,"Schedule I";#N/A,#N/A,FALSE,"Schedule  II";#N/A,#N/A,FALSE,"Schedule III"}</definedName>
    <definedName name="wr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hidden="1">{#N/A,#N/A,FALSE,"OffAdvance";#N/A,#N/A,FALSE,"OffExpRprt";#N/A,#N/A,FALSE,"Travelling";#N/A,#N/A,FALSE,"Entertmnt";#N/A,#N/A,FALSE,"Promotion"}</definedName>
    <definedName name="WRD" localSheetId="0" hidden="1">{"JimZhang - Personal View",#N/A,FALSE,"800230"}</definedName>
    <definedName name="WRD" hidden="1">{"JimZhang - Personal View",#N/A,FALSE,"800230"}</definedName>
    <definedName name="wrd.2._.pagers.3" localSheetId="0" hidden="1">{"Cover",#N/A,FALSE,"Cover";"Summary",#N/A,FALSE,"Summarpage"}</definedName>
    <definedName name="wrd.2._.pagers.3" hidden="1">{"Cover",#N/A,FALSE,"Cover";"Summary",#N/A,FALSE,"Summarpage"}</definedName>
    <definedName name="wret" localSheetId="0" hidden="1">{#N/A,#N/A,FALSE,"Summary";#N/A,#N/A,FALSE,"Month";#N/A,#N/A,FALSE,"YTD";#N/A,#N/A,FALSE,"Charts"}</definedName>
    <definedName name="wret" hidden="1">{#N/A,#N/A,FALSE,"Summary";#N/A,#N/A,FALSE,"Month";#N/A,#N/A,FALSE,"YTD";#N/A,#N/A,FALSE,"Charts"}</definedName>
    <definedName name="Wrexham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m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" localSheetId="0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wrn" hidden="1">{#N/A,#N/A,FALSE,"Sales"}</definedName>
    <definedName name="wrn." localSheetId="0" hidden="1">{#N/A,#N/A,FALSE,"Japan 2003";#N/A,#N/A,FALSE,"Sheet2"}</definedName>
    <definedName name="wrn." hidden="1">{#N/A,#N/A,FALSE,"Japan 2003";#N/A,#N/A,FALSE,"Sheet2"}</definedName>
    <definedName name="wrn.???????." localSheetId="0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localSheetId="0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localSheetId="0" hidden="1">{#N/A,#N/A,TRUE,"?????";#N/A,#N/A,TRUE,"??????"}</definedName>
    <definedName name="wrn.??????????." hidden="1">{#N/A,#N/A,TRUE,"?????";#N/A,#N/A,TRUE,"??????"}</definedName>
    <definedName name="wrn.????94." localSheetId="0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wrn.????94.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wrn.??94??." localSheetId="0" hidden="1">{#N/A,#N/A,TRUE,"?????";#N/A,#N/A,TRUE,"??????";#N/A,#N/A,TRUE,"??";#N/A,#N/A,TRUE,"???";#N/A,#N/A,TRUE,"1? ????";#N/A,#N/A,TRUE,"2? ??";#N/A,#N/A,TRUE,"2??? ????";#N/A,#N/A,TRUE,"3(1)? ????";#N/A,#N/A,TRUE,"3(1) ?1 ????";#N/A,#N/A,TRUE,"3(1) ?2 ????";#N/A,#N/A,TRUE,"3(1) ?3 ????";#N/A,#N/A,TRUE,"3(1)?7 ????";#N/A,#N/A,TRUE,"3(3)?(?) ????";#N/A,#N/A,TRUE,"4? ????";#N/A,#N/A,TRUE,"5? ???";#N/A,#N/A,TRUE,"5?2 ???(?)";#N/A,#N/A,TRUE,"5?2 ???(?)";#N/A,#N/A,TRUE,"6? ????";#N/A,#N/A,TRUE,"6? ??(?)";#N/A,#N/A,TRUE,"6? ??(?)";#N/A,#N/A,TRUE,"6-1? ????";#N/A,#N/A,TRUE,"6-2(7)? ????";#N/A,#N/A,TRUE,"6-3? ??";#N/A,#N/A,TRUE,"6-3(3)? ??";#N/A,#N/A,TRUE,"6-3(4)? ??";#N/A,#N/A,TRUE,"6-4? ??(?)";#N/A,#N/A,TRUE,"6-4? ??(?)";#N/A,#N/A,TRUE,"?????";#N/A,#N/A,TRUE,"6-6(3)? ??(??)";#N/A,#N/A,TRUE,"6-6?(??) ?????";#N/A,#N/A,TRUE,"6-10? ????";#N/A,#N/A,TRUE,"6-11? ?????";#N/A,#N/A,TRUE,"6-12? ????";#N/A,#N/A,TRUE,"6-13? ???";#N/A,#N/A,TRUE,"??1";#N/A,#N/A,TRUE,"??2";#N/A,#N/A,TRUE,"8? ?????";#N/A,#N/A,TRUE,"9? ???(?)";#N/A,#N/A,TRUE,"9? ???(?)";#N/A,#N/A,TRUE,"10(3)? ????";#N/A,#N/A,TRUE,"10(3)? ??";#N/A,#N/A,TRUE,"10(4)? ????";#N/A,#N/A,TRUE,"14(1)? ? ??";#N/A,#N/A,TRUE,"59? ????";#N/A,#N/A,TRUE,"?? BS";#N/A,#N/A,TRUE,"?? PL";#N/A,#N/A,TRUE,"??RE";#N/A,#N/A,TRUE,"?8? ????";#N/A,#N/A,TRUE,"?????";#N/A,#N/A,TRUE,"????";#N/A,#N/A,TRUE,"????";#N/A,#N/A,TRUE,"???????";#N/A,#N/A,TRUE,"??????";#N/A,#N/A,TRUE,"????";#N/A,#N/A,TRUE,"offshore";#N/A,#N/A,TRUE,"???????"}</definedName>
    <definedName name="wrn.??94??." hidden="1">{#N/A,#N/A,TRUE,"?????";#N/A,#N/A,TRUE,"??????";#N/A,#N/A,TRUE,"??";#N/A,#N/A,TRUE,"???";#N/A,#N/A,TRUE,"1? ????";#N/A,#N/A,TRUE,"2? ??";#N/A,#N/A,TRUE,"2??? ????";#N/A,#N/A,TRUE,"3(1)? ????";#N/A,#N/A,TRUE,"3(1) ?1 ????";#N/A,#N/A,TRUE,"3(1) ?2 ????";#N/A,#N/A,TRUE,"3(1) ?3 ????";#N/A,#N/A,TRUE,"3(1)?7 ????";#N/A,#N/A,TRUE,"3(3)?(?) ????";#N/A,#N/A,TRUE,"4? ????";#N/A,#N/A,TRUE,"5? ???";#N/A,#N/A,TRUE,"5?2 ???(?)";#N/A,#N/A,TRUE,"5?2 ???(?)";#N/A,#N/A,TRUE,"6? ????";#N/A,#N/A,TRUE,"6? ??(?)";#N/A,#N/A,TRUE,"6? ??(?)";#N/A,#N/A,TRUE,"6-1? ????";#N/A,#N/A,TRUE,"6-2(7)? ????";#N/A,#N/A,TRUE,"6-3? ??";#N/A,#N/A,TRUE,"6-3(3)? ??";#N/A,#N/A,TRUE,"6-3(4)? ??";#N/A,#N/A,TRUE,"6-4? ??(?)";#N/A,#N/A,TRUE,"6-4? ??(?)";#N/A,#N/A,TRUE,"?????";#N/A,#N/A,TRUE,"6-6(3)? ??(??)";#N/A,#N/A,TRUE,"6-6?(??) ?????";#N/A,#N/A,TRUE,"6-10? ????";#N/A,#N/A,TRUE,"6-11? ?????";#N/A,#N/A,TRUE,"6-12? ????";#N/A,#N/A,TRUE,"6-13? ???";#N/A,#N/A,TRUE,"??1";#N/A,#N/A,TRUE,"??2";#N/A,#N/A,TRUE,"8? ?????";#N/A,#N/A,TRUE,"9? ???(?)";#N/A,#N/A,TRUE,"9? ???(?)";#N/A,#N/A,TRUE,"10(3)? ????";#N/A,#N/A,TRUE,"10(3)? ??";#N/A,#N/A,TRUE,"10(4)? ????";#N/A,#N/A,TRUE,"14(1)? ? ??";#N/A,#N/A,TRUE,"59? ????";#N/A,#N/A,TRUE,"?? BS";#N/A,#N/A,TRUE,"?? PL";#N/A,#N/A,TRUE,"??RE";#N/A,#N/A,TRUE,"?8? ????";#N/A,#N/A,TRUE,"?????";#N/A,#N/A,TRUE,"????";#N/A,#N/A,TRUE,"????";#N/A,#N/A,TRUE,"???????";#N/A,#N/A,TRUE,"??????";#N/A,#N/A,TRUE,"????";#N/A,#N/A,TRUE,"offshore";#N/A,#N/A,TRUE,"???????"}</definedName>
    <definedName name="wrn.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localSheetId="0" hidden="1">{"cover",#N/A,TRUE,"Cover";"toc1",#N/A,TRUE,"TOC";"ts1",#N/A,TRUE,"Transaction Summary";"ei",#N/A,TRUE,"Earnings Impact";"ad",#N/A,TRUE,"accretion dilution"}</definedName>
    <definedName name="wrn.1." hidden="1">{#N/A,#N/A,FALSE,"Calc";#N/A,#N/A,FALSE,"Sensitivity";#N/A,#N/A,FALSE,"LT Earn.Dil.";#N/A,#N/A,FALSE,"Dil. AVP"}</definedName>
    <definedName name="wrn.10.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localSheetId="0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K._.FS._.AND._.TABLES." localSheetId="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localSheetId="0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localSheetId="0" hidden="1">{#N/A,#N/A,FALSE,"TABLE_1 YTD";#N/A,#N/A,FALSE,"TABLE_1A QTD"}</definedName>
    <definedName name="wrn.10Q._.TABLES." hidden="1">{#N/A,#N/A,FALSE,"TABLE_1 YTD";#N/A,#N/A,FALSE,"TABLE_1A QTD"}</definedName>
    <definedName name="wrn.10yp._.balance._.sheet." localSheetId="0" hidden="1">{"10yp balance sheet",#N/A,FALSE,"Celtel alternative 6"}</definedName>
    <definedName name="wrn.10yp._.balance._.sheet." hidden="1">{"10yp balance sheet",#N/A,FALSE,"Celtel alternative 6"}</definedName>
    <definedName name="wrn.10yp._.capex." localSheetId="0" hidden="1">{"10yp capex",#N/A,FALSE,"Celtel alternative 6"}</definedName>
    <definedName name="wrn.10yp._.capex." hidden="1">{"10yp capex",#N/A,FALSE,"Celtel alternative 6"}</definedName>
    <definedName name="wrn.10yp._.customers." localSheetId="0" hidden="1">{"10yp customers",#N/A,FALSE,"Celtel alternative 6"}</definedName>
    <definedName name="wrn.10yp._.customers." hidden="1">{"10yp customers",#N/A,FALSE,"Celtel alternative 6"}</definedName>
    <definedName name="wrn.10yp._.graphs." localSheetId="0" hidden="1">{"10yp graphs",#N/A,FALSE,"Market Data"}</definedName>
    <definedName name="wrn.10yp._.graphs." hidden="1">{"10yp graphs",#N/A,FALSE,"Market Data"}</definedName>
    <definedName name="wrn.10yp._.key._.data." localSheetId="0" hidden="1">{"10yp key data",#N/A,FALSE,"Market Data"}</definedName>
    <definedName name="wrn.10yp._.key._.data." hidden="1">{"10yp key data",#N/A,FALSE,"Market Data"}</definedName>
    <definedName name="wrn.10yp._.profit._.and._.loss." localSheetId="0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0" hidden="1">{"10yp tariffs",#N/A,FALSE,"Celtel alternative 6"}</definedName>
    <definedName name="wrn.10yp._.tariffs." hidden="1">{"10yp tariffs",#N/A,FALSE,"Celtel alternative 6"}</definedName>
    <definedName name="wrn.11.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3" localSheetId="0" hidden="1">{#N/A,#N/A,FALSE,"TFX Med. Europe Full Year in $"}</definedName>
    <definedName name="wrn.123" hidden="1">{#N/A,#N/A,FALSE,"TFX Med. Europe Full Year in $"}</definedName>
    <definedName name="wrn.13." localSheetId="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0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0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0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0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0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0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6._.BUDGET." localSheetId="0" hidden="1">{#N/A,#N/A,FALSE,"CGSANAL";#N/A,#N/A,FALSE,"CF929#1";#N/A,#N/A,FALSE,"BS95";#N/A,#N/A,FALSE,"OB969A#1";#N/A,#N/A,FALSE,"Q95";#N/A,#N/A,FALSE,"ANALYSIS";#N/A,#N/A,FALSE,"PL";#N/A,#N/A,FALSE,"AS95- M";#N/A,#N/A,FALSE,"AS95 - B"}</definedName>
    <definedName name="wrn.1996._.BUDGET." hidden="1">{#N/A,#N/A,FALSE,"CGSANAL";#N/A,#N/A,FALSE,"CF929#1";#N/A,#N/A,FALSE,"BS95";#N/A,#N/A,FALSE,"OB969A#1";#N/A,#N/A,FALSE,"Q95";#N/A,#N/A,FALSE,"ANALYSIS";#N/A,#N/A,FALSE,"PL";#N/A,#N/A,FALSE,"AS95- M";#N/A,#N/A,FALSE,"AS95 - B"}</definedName>
    <definedName name="wrn.1999._.budget." localSheetId="0" hidden="1">{"common_pl",#N/A,FALSE,"Commonized PL";"analyst",#N/A,FALSE,"Budget to Analyst";"sec",#N/A,FALSE,"SEC PL";"summary",#N/A,FALSE,"Summary";"detail",#N/A,FALSE,"Detail"}</definedName>
    <definedName name="wrn.1999._.budget." hidden="1">{"common_pl",#N/A,FALSE,"Commonized PL";"analyst",#N/A,FALSE,"Budget to Analyst";"sec",#N/A,FALSE,"SEC PL";"summary",#N/A,FALSE,"Summary";"detail",#N/A,FALSE,"Detail"}</definedName>
    <definedName name="wrn.2." localSheetId="0" hidden="1">{"cover",#N/A,TRUE,"Cover";"toc1",#N/A,TRUE,"TOC";"ts1",#N/A,TRUE,"Transaction Summary";"ei1",#N/A,TRUE,"Earnings Impact";"ad1",#N/A,TRUE,"accretion dilution"}</definedName>
    <definedName name="WRN.2." hidden="1">{#N/A,#N/A,FALSE,"Calc";#N/A,#N/A,FALSE,"Sensitivity";#N/A,#N/A,FALSE,"LT Earn.Dil.";#N/A,#N/A,FALSE,"Dil. AVP"}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2._.pagers.2" localSheetId="0" hidden="1">{"Cover",#N/A,FALSE,"Cover";"Summary",#N/A,FALSE,"Summarpage"}</definedName>
    <definedName name="wrn.2._.pagers.2" hidden="1">{"Cover",#N/A,FALSE,"Cover";"Summary",#N/A,FALSE,"Summarpage"}</definedName>
    <definedName name="wrn.20." localSheetId="0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.year._.alt" localSheetId="0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localSheetId="0" hidden="1">{"toc full",#N/A,TRUE,"TOC";"summ",#N/A,TRUE,"Summ";"cash 20",#N/A,TRUE,"Cash";"net unit 20",#N/A,TRUE,"NetUnit";"cum net 20",#N/A,TRUE,"CumNet";"net unit 20",#N/A,TRUE,"NetRes";"gross 20",#N/A,TRUE,"Gross";"infra cost 20",#N/A,TRUE," InfraCost";"bldg cost 20",#N/A,TRUE,"BldgCost";"parking 20",#N/A,TRUE,"Parking";"open sp 20",#N/A,TRUE,"OpenSp";"interim 20",#N/A,TRUE,"Interim";"noi 20",#N/A,TRUE,"NOI";"bldg sale 20",#N/A,TRUE,"BldgSale";"aff hsg",#N/A,TRUE,"AffHsg"}</definedName>
    <definedName name="wrn.20._.year._.full." hidden="1">{"toc full",#N/A,TRUE,"TOC";"summ",#N/A,TRUE,"Summ";"cash 20",#N/A,TRUE,"Cash";"net unit 20",#N/A,TRUE,"NetUnit";"cum net 20",#N/A,TRUE,"CumNet";"net unit 20",#N/A,TRUE,"NetRes";"gross 20",#N/A,TRUE,"Gross";"infra cost 20",#N/A,TRUE," InfraCost";"bldg cost 20",#N/A,TRUE,"BldgCost";"parking 20",#N/A,TRUE,"Parking";"open sp 20",#N/A,TRUE,"OpenSp";"interim 20",#N/A,TRUE,"Interim";"noi 20",#N/A,TRUE,"NOI";"bldg sale 20",#N/A,TRUE,"BldgSale";"aff hsg",#N/A,TRUE,"AffHsg"}</definedName>
    <definedName name="wrn.21." localSheetId="0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0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0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0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0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0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5PricingBook." localSheetId="0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localSheetId="0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8." localSheetId="0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0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0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._.month._.budget." localSheetId="0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_.month._.budget.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0." localSheetId="0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0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0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0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0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0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0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0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0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0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0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0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0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0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0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localSheetId="0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0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0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0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0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0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0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0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0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0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0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0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0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0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0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0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0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0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0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0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0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0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0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4PV." localSheetId="0" hidden="1">{"Page1",#N/A,FALSE,"94PV";"Page2",#N/A,FALSE,"94PV"}</definedName>
    <definedName name="wrn.94PV." hidden="1">{"Page1",#N/A,FALSE,"94PV";"Page2",#N/A,FALSE,"94PV"}</definedName>
    <definedName name="wrn.96AOPReport." localSheetId="0" hidden="1">{#N/A,#N/A,FALSE,"AOP Summary";#N/A,#N/A,FALSE,"E.C. Reports";#N/A,#N/A,FALSE,"SADA";#N/A,#N/A,FALSE,"SADA VARIANCE";#N/A,#N/A,FALSE,"Market Share";#N/A,#N/A,FALSE,"Fisher Data"}</definedName>
    <definedName name="wrn.96AOPReport." hidden="1">{#N/A,#N/A,FALSE,"AOP Summary";#N/A,#N/A,FALSE,"E.C. Reports";#N/A,#N/A,FALSE,"SADA";#N/A,#N/A,FALSE,"SADA VARIANCE";#N/A,#N/A,FALSE,"Market Share";#N/A,#N/A,FALSE,"Fisher Data"}</definedName>
    <definedName name="wrn.97_Utility." localSheetId="0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8Mkt._.Value." localSheetId="0" hidden="1">{#N/A,#N/A,FALSE,"Detail";#N/A,#N/A,FALSE,"%s";#N/A,#N/A,FALSE,"Fund I";#N/A,#N/A,FALSE,"Fund II ";#N/A,#N/A,FALSE,"Fund III";#N/A,#N/A,FALSE,"public companies"}</definedName>
    <definedName name="wrn.98Mkt._.Value." hidden="1">{#N/A,#N/A,FALSE,"Detail";#N/A,#N/A,FALSE,"%s";#N/A,#N/A,FALSE,"Fund I";#N/A,#N/A,FALSE,"Fund II ";#N/A,#N/A,FALSE,"Fund III";#N/A,#N/A,FALSE,"public companies"}</definedName>
    <definedName name="wrn.A." localSheetId="0" hidden="1">{#N/A,#N/A,FALSE,"Eff-SSC2"}</definedName>
    <definedName name="wrn.A." hidden="1">{#N/A,#N/A,FALSE,"Eff-SSC2"}</definedName>
    <definedName name="wrn.A_VALUATION." localSheetId="0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aaaaa.phase3" localSheetId="0" hidden="1">{"Summary Sheet",#N/A,FALSE,"Stage 5 vs Budget";"Summary Sheet",#N/A,FALSE,"Stage 6 vs Budget";"Summary Sheet",#N/A,FALSE,"Stage 7 vs Budget";"Summary Sheet",#N/A,FALSE,"SalesInfo vs Budget";"Summary Sheet",#N/A,FALSE,"Stock Route vs Budget";"Summary Sheet",#N/A,FALSE,"Stock Route Park vs Budget";"Summary Sheet",#N/A,FALSE,"River Park vs Budget";"Summary Sheet",#N/A,FALSE,"Central Park vs Budget";"Summary Sheet",#N/A,FALSE,"Crescent Park vs Budget";"Summary Sheet",#N/A,FALSE,"The Green vs Budget"}</definedName>
    <definedName name="wrn.aaaaaa.phase3" hidden="1">{"Summary Sheet",#N/A,FALSE,"Stage 5 vs Budget";"Summary Sheet",#N/A,FALSE,"Stage 6 vs Budget";"Summary Sheet",#N/A,FALSE,"Stage 7 vs Budget";"Summary Sheet",#N/A,FALSE,"SalesInfo vs Budget";"Summary Sheet",#N/A,FALSE,"Stock Route vs Budget";"Summary Sheet",#N/A,FALSE,"Stock Route Park vs Budget";"Summary Sheet",#N/A,FALSE,"River Park vs Budget";"Summary Sheet",#N/A,FALSE,"Central Park vs Budget";"Summary Sheet",#N/A,FALSE,"Crescent Park vs Budget";"Summary Sheet",#N/A,FALSE,"The Green vs Budget"}</definedName>
    <definedName name="wrn.abc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0" hidden="1">{#N/A,#N/A,FALSE,"Bezirk SW";#N/A,#N/A,FALSE,"Dir S (GK)";#N/A,#N/A,FALSE,"Dir FR (PK)"}</definedName>
    <definedName name="wrn.abc." hidden="1">{#N/A,#N/A,FALSE,"Bezirk SW";#N/A,#N/A,FALSE,"Dir S (GK)";#N/A,#N/A,FALSE,"Dir FR (PK)"}</definedName>
    <definedName name="wrn.abc._ns" localSheetId="0" hidden="1">{#N/A,#N/A,FALSE,"Bezirk SW";#N/A,#N/A,FALSE,"Dir S (GK)";#N/A,#N/A,FALSE,"Dir FR (PK)"}</definedName>
    <definedName name="wrn.abc._ns" hidden="1">{#N/A,#N/A,FALSE,"Bezirk SW";#N/A,#N/A,FALSE,"Dir S (GK)";#N/A,#N/A,FALSE,"Dir FR (PK)"}</definedName>
    <definedName name="wrn.Accounts." localSheetId="0" hidden="1">{"turnover",#N/A,FALSE;"profits",#N/A,FALSE;"cash",#N/A,FALSE}</definedName>
    <definedName name="wrn.Accounts." hidden="1">{"turnover",#N/A,FALSE;"profits",#N/A,FALSE;"cash",#N/A,FALSE}</definedName>
    <definedName name="wrn.Accr_Dil." localSheetId="0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ccretion." localSheetId="0" hidden="1">{"Accretion",#N/A,FALSE,"Assum"}</definedName>
    <definedName name="wrn.Accretion." hidden="1">{"Accretion",#N/A,FALSE,"Assum"}</definedName>
    <definedName name="wrn.ACCT._.PACKAGE._.REPORT." localSheetId="0" hidden="1">{#N/A,#N/A,TRUE,"Highlights";#N/A,#N/A,TRUE,"BS_Oriental International Bank";#N/A,#N/A,TRUE,"P&amp;L_Oriental International Bank";#N/A,#N/A,TRUE,"Revenues Report_OIB";#N/A,#N/A,TRUE,"Expenses OIB";#N/A,#N/A,TRUE,"Margin_ORIENTAL INTL BANK";#N/A,#N/A,TRUE,"PL Quarterly_OIB";#N/A,#N/A,TRUE,"COVER"}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OIB";#N/A,#N/A,TRUE,"Margin_ORIENTAL INTL BANK";#N/A,#N/A,TRUE,"PL Quarterly_OIB";#N/A,#N/A,TRUE,"COVER"}</definedName>
    <definedName name="wrn.ACHESON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State." localSheetId="0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uiror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cquisition_matrix_from_DBAB_1" localSheetId="0" hidden="1">{"Acq_matrix",#N/A,FALSE,"Acquisition Matrix"}</definedName>
    <definedName name="wrn.Acquisition_matrix_from_DBAB_1" hidden="1">{"Acq_matrix",#N/A,FALSE,"Acquisition Matrix"}</definedName>
    <definedName name="wrn.Acquisition_matrix_from_DBAB_1_1" localSheetId="0" hidden="1">{"Acq_matrix",#N/A,FALSE,"Acquisition Matrix"}</definedName>
    <definedName name="wrn.Acquisition_matrix_from_DBAB_1_1" hidden="1">{"Acq_matrix",#N/A,FALSE,"Acquisition Matrix"}</definedName>
    <definedName name="wrn.Acquisition_matrix_from_DBAB_1_1_1" localSheetId="0" hidden="1">{"Acq_matrix",#N/A,FALSE,"Acquisition Matrix"}</definedName>
    <definedName name="wrn.Acquisition_matrix_from_DBAB_1_1_1" hidden="1">{"Acq_matrix",#N/A,FALSE,"Acquisition Matrix"}</definedName>
    <definedName name="wrn.Acquisition_matrix_from_DBAB_1_2" localSheetId="0" hidden="1">{"Acq_matrix",#N/A,FALSE,"Acquisition Matrix"}</definedName>
    <definedName name="wrn.Acquisition_matrix_from_DBAB_1_2" hidden="1">{"Acq_matrix",#N/A,FALSE,"Acquisition Matrix"}</definedName>
    <definedName name="wrn.Acquisition_matrix_from_DBAB_2" localSheetId="0" hidden="1">{"Acq_matrix",#N/A,FALSE,"Acquisition Matrix"}</definedName>
    <definedName name="wrn.Acquisition_matrix_from_DBAB_2" hidden="1">{"Acq_matrix",#N/A,FALSE,"Acquisition Matrix"}</definedName>
    <definedName name="wrn.Acquisition_matrix_from_DBAB_3" localSheetId="0" hidden="1">{"Acq_matrix",#N/A,FALSE,"Acquisition Matrix"}</definedName>
    <definedName name="wrn.Acquisition_matrix_from_DBAB_3" hidden="1">{"Acq_matrix",#N/A,FALSE,"Acquisition Matrix"}</definedName>
    <definedName name="wrn.Acquisition_matrix_from_DBAB_4" localSheetId="0" hidden="1">{"Acq_matrix",#N/A,FALSE,"Acquisition Matrix"}</definedName>
    <definedName name="wrn.Acquisition_matrix_from_DBAB_4" hidden="1">{"Acq_matrix",#N/A,FALSE,"Acquisition Matrix"}</definedName>
    <definedName name="wrn.Acquisition_matrix_from_DBAB_5" localSheetId="0" hidden="1">{"Acq_matrix",#N/A,FALSE,"Acquisition Matrix"}</definedName>
    <definedName name="wrn.Acquisition_matrix_from_DBAB_5" hidden="1">{"Acq_matrix",#N/A,FALSE,"Acquisition Matrix"}</definedName>
    <definedName name="wrn.AcqVal." localSheetId="0" hidden="1">{#N/A,#N/A,FALSE,"Acq-Val";#N/A,#N/A,FALSE,"Acq-Mult Val"}</definedName>
    <definedName name="wrn.AcqVal." hidden="1">{#N/A,#N/A,FALSE,"Acq-Val";#N/A,#N/A,FALSE,"Acq-Mult Val"}</definedName>
    <definedName name="wrn.Actives." localSheetId="0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_.Data._.Entry." localSheetId="0" hidden="1">{#N/A,#N/A,FALSE,"Sales"}</definedName>
    <definedName name="wrn.Actual._.Data._.Entry." hidden="1">{#N/A,#N/A,FALSE,"Sales"}</definedName>
    <definedName name="wrn.Actual._.vs._.Budget.Phase3" localSheetId="0" hidden="1">{"Summary Sheet",#N/A,FALSE,"Cash Flow vs Budget"}</definedName>
    <definedName name="wrn.Actual._.vs._.Budget.Phase3" hidden="1">{"Summary Sheet",#N/A,FALSE,"Cash Flow vs Budget"}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dj95._from_DBAB_1" localSheetId="0" hidden="1">{"adj95mult",#N/A,FALSE,"COMPCO";"adj95est",#N/A,FALSE,"COMPCO"}</definedName>
    <definedName name="wrn.adj95._from_DBAB_1" hidden="1">{"adj95mult",#N/A,FALSE,"COMPCO";"adj95est",#N/A,FALSE,"COMPCO"}</definedName>
    <definedName name="wrn.adj95._from_DBAB_1_1" localSheetId="0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localSheetId="0" hidden="1">{"adj95mult",#N/A,FALSE,"COMPCO";"adj95est",#N/A,FALSE,"COMPCO"}</definedName>
    <definedName name="wrn.adj95._from_DBAB_1_1_1" hidden="1">{"adj95mult",#N/A,FALSE,"COMPCO";"adj95est",#N/A,FALSE,"COMPCO"}</definedName>
    <definedName name="wrn.adj95._from_DBAB_1_2" localSheetId="0" hidden="1">{"adj95mult",#N/A,FALSE,"COMPCO";"adj95est",#N/A,FALSE,"COMPCO"}</definedName>
    <definedName name="wrn.adj95._from_DBAB_1_2" hidden="1">{"adj95mult",#N/A,FALSE,"COMPCO";"adj95est",#N/A,FALSE,"COMPCO"}</definedName>
    <definedName name="wrn.adj95._from_DBAB_2" localSheetId="0" hidden="1">{"adj95mult",#N/A,FALSE,"COMPCO";"adj95est",#N/A,FALSE,"COMPCO"}</definedName>
    <definedName name="wrn.adj95._from_DBAB_2" hidden="1">{"adj95mult",#N/A,FALSE,"COMPCO";"adj95est",#N/A,FALSE,"COMPCO"}</definedName>
    <definedName name="wrn.adj95._from_DBAB_3" localSheetId="0" hidden="1">{"adj95mult",#N/A,FALSE,"COMPCO";"adj95est",#N/A,FALSE,"COMPCO"}</definedName>
    <definedName name="wrn.adj95._from_DBAB_3" hidden="1">{"adj95mult",#N/A,FALSE,"COMPCO";"adj95est",#N/A,FALSE,"COMPCO"}</definedName>
    <definedName name="wrn.adj95._from_DBAB_4" localSheetId="0" hidden="1">{"adj95mult",#N/A,FALSE,"COMPCO";"adj95est",#N/A,FALSE,"COMPCO"}</definedName>
    <definedName name="wrn.adj95._from_DBAB_4" hidden="1">{"adj95mult",#N/A,FALSE,"COMPCO";"adj95est",#N/A,FALSE,"COMPCO"}</definedName>
    <definedName name="wrn.adj95._from_DBAB_5" localSheetId="0" hidden="1">{"adj95mult",#N/A,FALSE,"COMPCO";"adj95est",#N/A,FALSE,"COMPCO"}</definedName>
    <definedName name="wrn.adj95._from_DBAB_5" hidden="1">{"adj95mult",#N/A,FALSE,"COMPCO";"adj95est",#N/A,FALSE,"COMPCO"}</definedName>
    <definedName name="wrn.adj95a" localSheetId="0" hidden="1">{"adj95mult",#N/A,FALSE,"COMPCO";"adj95est",#N/A,FALSE,"COMPCO"}</definedName>
    <definedName name="wrn.adj95a" hidden="1">{"adj95mult",#N/A,FALSE,"COMPCO";"adj95est",#N/A,FALSE,"COMPCO"}</definedName>
    <definedName name="wrn.AFC._.Financials." localSheetId="0" hidden="1">{"AFC Income Statement",#N/A,FALSE,"P&amp;L";"AFC Balance Sheet",#N/A,FALSE,"Balsht (audited)";"AFC Cash Flow",#N/A,FALSE,"Cash (audited)"}</definedName>
    <definedName name="wrn.AFC._.Financials." hidden="1">{"AFC Income Statement",#N/A,FALSE,"P&amp;L";"AFC Balance Sheet",#N/A,FALSE,"Balsht (audited)";"AFC Cash Flow",#N/A,FALSE,"Cash (audited)"}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localSheetId="0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2" localSheetId="0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3" localSheetId="0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1_4" localSheetId="0" hidden="1">{#N/A,#N/A,FALSE,"Aging Summary";#N/A,#N/A,FALSE,"Ratio Analysis";#N/A,#N/A,FALSE,"Test 120 Day Accts";#N/A,#N/A,FALSE,"Tickmarks"}</definedName>
    <definedName name="wrn.Aging._.and._.Trend._.Analysis._1_1_4" hidden="1">{#N/A,#N/A,FALSE,"Aging Summary";#N/A,#N/A,FALSE,"Ratio Analysis";#N/A,#N/A,FALSE,"Test 120 Day Accts";#N/A,#N/A,FALSE,"Tickmarks"}</definedName>
    <definedName name="wrn.Aging._.and._.Trend._.Analysis._1_1_5" localSheetId="0" hidden="1">{#N/A,#N/A,FALSE,"Aging Summary";#N/A,#N/A,FALSE,"Ratio Analysis";#N/A,#N/A,FALSE,"Test 120 Day Accts";#N/A,#N/A,FALSE,"Tickmarks"}</definedName>
    <definedName name="wrn.Aging._.and._.Trend._.Analysis._1_1_5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localSheetId="0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localSheetId="0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localSheetId="0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localSheetId="0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localSheetId="0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localSheetId="0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localSheetId="0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localSheetId="0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localSheetId="0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localSheetId="0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localSheetId="0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localSheetId="0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localSheetId="0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N._.MODELS." localSheetId="0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LAN." localSheetId="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" localSheetId="0" hidden="1">{#N/A,#N/A,FALSE,"Time Warner";#N/A,#N/A,FALSE,"Entertainment Group";#N/A,#N/A,FALSE,"EBITDA";#N/A,#N/A,FALSE,"Notes"}</definedName>
    <definedName name="wrn.all." hidden="1">{#N/A,#N/A,FALSE,"Time Warner";#N/A,#N/A,FALSE,"Entertainment Group";#N/A,#N/A,FALSE,"EBITDA";#N/A,#N/A,FALSE,"Notes"}</definedName>
    <definedName name="wrn.All._.Assumptions." localSheetId="0" hidden="1">{"AssumptionSheet",#N/A,FALSE,"Assumptions";"RevenueExpensesSheet",#N/A,FALSE,"Table_Revenue";"EquityProfileSheet",#N/A,FALSE,"Table_Equity";"ConstructDebtSheet",#N/A,FALSE,"Table_Debt"}</definedName>
    <definedName name="wrn.All._.Assumptions." hidden="1">{"AssumptionSheet",#N/A,FALSE,"Assumptions";"RevenueExpensesSheet",#N/A,FALSE,"Table_Revenue";"EquityProfileSheet",#N/A,FALSE,"Table_Equity";"ConstructDebtSheet",#N/A,FALSE,"Table_Debt"}</definedName>
    <definedName name="wrn.All._.Assumptions.dv" localSheetId="0" hidden="1">{"AssumptionSheet",#N/A,FALSE,"Assumptions";"RevenueExpensesSheet",#N/A,FALSE,"Table_Revenue";"EquityProfileSheet",#N/A,FALSE,"Table_Equity";"ConstructDebtSheet",#N/A,FALSE,"Table_Debt"}</definedName>
    <definedName name="wrn.All._.Assumptions.dv" hidden="1">{"AssumptionSheet",#N/A,FALSE,"Assumptions";"RevenueExpensesSheet",#N/A,FALSE,"Table_Revenue";"EquityProfileSheet",#N/A,FALSE,"Table_Equity";"ConstructDebtSheet",#N/A,FALSE,"Table_Debt"}</definedName>
    <definedName name="wrn.ALL._.CCON." localSheetId="0" hidden="1">{#N/A,#N/A,FALSE,"CONFIGURATION";#N/A,#N/A,FALSE,"COLORS";#N/A,#N/A,FALSE,"CALC TOOLS-PARTS";"ALL",#N/A,FALSE,"PARTS LIST"}</definedName>
    <definedName name="wrn.ALL._.CCON." hidden="1">{#N/A,#N/A,FALSE,"CONFIGURATION";#N/A,#N/A,FALSE,"COLORS";#N/A,#N/A,FALSE,"CALC TOOLS-PARTS";"ALL",#N/A,FALSE,"PARTS LIST"}</definedName>
    <definedName name="wrn.ALL._.CCON._.NO._.COST." localSheetId="0" hidden="1">{#N/A,#N/A,FALSE,"CONFIGURATION";#N/A,#N/A,FALSE,"COLORS";#N/A,#N/A,FALSE,"CALC TOOLS-PARTS";"NO COST",#N/A,FALSE,"PARTS LIST"}</definedName>
    <definedName name="wrn.ALL._.CCON._.NO._.COST." hidden="1">{#N/A,#N/A,FALSE,"CONFIGURATION";#N/A,#N/A,FALSE,"COLORS";#N/A,#N/A,FALSE,"CALC TOOLS-PARTS";"NO COST",#N/A,FALSE,"PARTS LIST"}</definedName>
    <definedName name="wrn.All._.Company._.Analyses." localSheetId="0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0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STS." localSheetId="0" hidden="1">{#N/A,#N/A,FALSE,"COST CMPR";#N/A,#N/A,FALSE,"DMP ";#N/A,#N/A,FALSE,"SM2";#N/A,#N/A,FALSE,"SMC";#N/A,#N/A,FALSE,"DRP "}</definedName>
    <definedName name="wrn.ALL._.COSTS." hidden="1">{#N/A,#N/A,FALSE,"COST CMPR";#N/A,#N/A,FALSE,"DMP ";#N/A,#N/A,FALSE,"SM2";#N/A,#N/A,FALSE,"SMC";#N/A,#N/A,FALSE,"DRP "}</definedName>
    <definedName name="wrn.ALL._.CTT._.STMTS." localSheetId="0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0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ENGINEERING." localSheetId="0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gulp._.sheets.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._.Schedules.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localSheetId="0" hidden="1">{#N/A,#N/A,FALSE,"puboff";#N/A,#N/A,FALSE,"financials";#N/A,#N/A,FALSE,"valuation";#N/A,#N/A,FALSE,"split"}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C._.SHEETS." localSheetId="0" hidden="1">{#N/A,#N/A,FALSE,"CONFIGURATION";#N/A,#N/A,FALSE,"CM4";#N/A,#N/A,FALSE,"CONCRETE";#N/A,#N/A,FALSE,"HEAVY";#N/A,#N/A,FALSE,"TRIGII+";#N/A,#N/A,FALSE,"PH4";#N/A,#N/A,FALSE,"UMM";#N/A,#N/A,FALSE,"EC96";#N/A,#N/A,FALSE,"QP2x";#N/A,#N/A,FALSE,"REM2x";#N/A,#N/A,FALSE,"FM2"}</definedName>
    <definedName name="wrn.ALL._.QC._.SHEETS." hidden="1">{#N/A,#N/A,FALSE,"CONFIGURATION";#N/A,#N/A,FALSE,"CM4";#N/A,#N/A,FALSE,"CONCRETE";#N/A,#N/A,FALSE,"HEAVY";#N/A,#N/A,FALSE,"TRIGII+";#N/A,#N/A,FALSE,"PH4";#N/A,#N/A,FALSE,"UMM";#N/A,#N/A,FALSE,"EC96";#N/A,#N/A,FALSE,"QP2x";#N/A,#N/A,FALSE,"REM2x";#N/A,#N/A,FALSE,"FM2"}</definedName>
    <definedName name="wrn.All._.Schedules.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ections." localSheetId="0" hidden="1">{"Data Entry",#N/A,FALSE,"COMPTEMP";"Ratios",#N/A,FALSE,"COMPTEMP";"Aggregate Values",#N/A,FALSE,"COMPTEMP";"Equity Multiples",#N/A,FALSE,"COMPTEMP";"Summary Overview",#N/A,FALSE,"COMPTEMP"}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ages._.Summary.Phase3" localSheetId="0" hidden="1">{"Short Stage 1",#N/A,FALSE,"Stage 1";"Short Stage 2",#N/A,FALSE,"Stage 2";"Short Stage 3",#N/A,FALSE,"Stage 3";"Short Stage 4",#N/A,FALSE,"Stage 4";"Short Stage 5",#N/A,FALSE,"Stage 5";"Short Stage 6",#N/A,FALSE,"Stage 6";"Short Stage 7",#N/A,FALSE,"Stage 7"}</definedName>
    <definedName name="wrn.All._.Stages._.Summary.Phase3" hidden="1">{"Short Stage 1",#N/A,FALSE,"Stage 1";"Short Stage 2",#N/A,FALSE,"Stage 2";"Short Stage 3",#N/A,FALSE,"Stage 3";"Short Stage 4",#N/A,FALSE,"Stage 4";"Short Stage 5",#N/A,FALSE,"Stage 5";"Short Stage 6",#N/A,FALSE,"Stage 6";"Short Stage 7",#N/A,FALSE,"Stage 7"}</definedName>
    <definedName name="wrn.ALL._.STATEMENTS." localSheetId="0" hidden="1">{"BALANCE SHEET",#N/A,FALSE,"Balance Sheet";"INCOME STATEMENT",#N/A,FALSE,"Income Statement";"STMT OF CASH FLOWS",#N/A,FALSE,"Cash Flows Indirect";"PARTNERS CAPITAL STMT",#N/A,FALSE,"Partners Capital"}</definedName>
    <definedName name="wrn.ALL._.STATEMENTS." hidden="1">{"BALANCE SHEET",#N/A,FALSE,"Balance Sheet";"INCOME STATEMENT",#N/A,FALSE,"Income Statement";"STMT OF CASH FLOWS",#N/A,FALSE,"Cash Flows Indirect";"PARTNERS CAPITAL STMT",#N/A,FALSE,"Partners Capital"}</definedName>
    <definedName name="wrn.ALL._.STMTS." localSheetId="0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localSheetId="0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ummaries.Phase3" localSheetId="0" hidden="1">{"Summary vs Budget",#N/A,FALSE,"Summary vs Budget";"Stage 1 vs Budget",#N/A,FALSE,"Stage 1 vs Budget";"Stage 1 vs Budget",#N/A,FALSE,"Stage 2 vs Budget";"Stage 1 vs Budget",#N/A,FALSE,"Stage 3 vs Budget";"Stage 4 vs Budget",#N/A,FALSE,"Stage 4 vs Budget";"Summary",#N/A,FALSE,"Stage 5 vs Budget";"Summary",#N/A,FALSE,"Stage 6 vs Budget";"Summary",#N/A,FALSE,"Stage 7 vs Budget "}</definedName>
    <definedName name="wrn.All._.Summaries.Phase3" hidden="1">{"Summary vs Budget",#N/A,FALSE,"Summary vs Budget";"Stage 1 vs Budget",#N/A,FALSE,"Stage 1 vs Budget";"Stage 1 vs Budget",#N/A,FALSE,"Stage 2 vs Budget";"Stage 1 vs Budget",#N/A,FALSE,"Stage 3 vs Budget";"Stage 4 vs Budget",#N/A,FALSE,"Stage 4 vs Budget";"Summary",#N/A,FALSE,"Stage 5 vs Budget";"Summary",#N/A,FALSE,"Stage 6 vs Budget";"Summary",#N/A,FALSE,"Stage 7 vs Budget "}</definedName>
    <definedName name="wrn.All._.Summary._.Sheets.Phase3" localSheetId="0" hidden="1">{"Summary Sheet",#N/A,FALSE,"Summary vs Budget";"Summary Sheet",#N/A,FALSE,"Master vs Budget";"Summary Sheet",#N/A,FALSE,"Stage 1 vs Budget";"Summary Sheet",#N/A,FALSE,"Stage 2 vs Budget";"Summary Sheet",#N/A,FALSE,"Stage 3 vs Budget";"Summary Sheet",#N/A,FALSE,"Stage 4 vs Budget";"Summary Sheet",#N/A,FALSE,"Stage 5 vs Budget";"Summary Sheet",#N/A,FALSE,"Stage 6 vs Budget";"Summary Sheet",#N/A,FALSE,"Stage 7 vs Budget";"Summary Sheet",#N/A,FALSE,"SalesInfo vs Budget";"Summary Sheet",#N/A,FALSE,"Stock Route vs Budget";"Summary Sheet",#N/A,FALSE,"Stock Route Park vs Budget";"Summary Sheet",#N/A,FALSE,"River Park vs Budget";"Summary Sheet",#N/A,FALSE,"Central Park vs Budget";"Summary Sheet",#N/A,FALSE,"Crescent Park vs Budget";"Summary Sheet",#N/A,FALSE,"The Green vs Budget"}</definedName>
    <definedName name="wrn.All._.Summary._.Sheets.Phase3" hidden="1">{"Summary Sheet",#N/A,FALSE,"Summary vs Budget";"Summary Sheet",#N/A,FALSE,"Master vs Budget";"Summary Sheet",#N/A,FALSE,"Stage 1 vs Budget";"Summary Sheet",#N/A,FALSE,"Stage 2 vs Budget";"Summary Sheet",#N/A,FALSE,"Stage 3 vs Budget";"Summary Sheet",#N/A,FALSE,"Stage 4 vs Budget";"Summary Sheet",#N/A,FALSE,"Stage 5 vs Budget";"Summary Sheet",#N/A,FALSE,"Stage 6 vs Budget";"Summary Sheet",#N/A,FALSE,"Stage 7 vs Budget";"Summary Sheet",#N/A,FALSE,"SalesInfo vs Budget";"Summary Sheet",#N/A,FALSE,"Stock Route vs Budget";"Summary Sheet",#N/A,FALSE,"Stock Route Park vs Budget";"Summary Sheet",#N/A,FALSE,"River Park vs Budget";"Summary Sheet",#N/A,FALSE,"Central Park vs Budget";"Summary Sheet",#N/A,FALSE,"Crescent Park vs Budget";"Summary Sheet",#N/A,FALSE,"The Green vs Budget"}</definedName>
    <definedName name="wrn.ALL._.WLLC._.STMTS." localSheetId="0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0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sheets.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_Models.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localSheetId="0" hidden="1">{"P&amp;L",#N/A,TRUE,"HC";"P&amp;L Percents",#N/A,TRUE,"P&amp;L";"M&amp;A3 P&amp;L",#N/A,TRUE,"HC";"M&amp;A3 Pipeline",#N/A,TRUE,"HC";"Franchises",#N/A,TRUE,"HC";"CF&amp;BS",#N/A,TRUE,"HC"}</definedName>
    <definedName name="wrn.all1" hidden="1">{"P&amp;L",#N/A,TRUE,"HC";"P&amp;L Percents",#N/A,TRUE,"P&amp;L";"M&amp;A3 P&amp;L",#N/A,TRUE,"HC";"M&amp;A3 Pipeline",#N/A,TRUE,"HC";"Franchises",#N/A,TRUE,"HC";"CF&amp;BS",#N/A,TRUE,"HC"}</definedName>
    <definedName name="wrn.ALL94." localSheetId="0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igator." localSheetId="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Models." localSheetId="0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ALLPAG." localSheetId="0" hidden="1">{#N/A,#N/A,FALSE,"Cover";#N/A,#N/A,FALSE,"PAI";#N/A,#N/A,FALSE,"PALS991";#N/A,#N/A,FALSE,"PALS97A";#N/A,#N/A,FALSE,"AAHC";#N/A,#N/A,FALSE,"PCC";#N/A,#N/A,FALSE,"PAPs"}</definedName>
    <definedName name="wrn.ALLPAG." hidden="1">{#N/A,#N/A,FALSE,"Cover";#N/A,#N/A,FALSE,"PAI";#N/A,#N/A,FALSE,"PALS991";#N/A,#N/A,FALSE,"PALS97A";#N/A,#N/A,FALSE,"AAHC";#N/A,#N/A,FALSE,"PCC";#N/A,#N/A,FALSE,"PAPs"}</definedName>
    <definedName name="wrn.Allpag3" localSheetId="0" hidden="1">{#N/A,#N/A,FALSE,"Cover";#N/A,#N/A,FALSE,"PAI";#N/A,#N/A,FALSE,"PALS991";#N/A,#N/A,FALSE,"PALS97A";#N/A,#N/A,FALSE,"AAHC";#N/A,#N/A,FALSE,"PCC";#N/A,#N/A,FALSE,"PAPs"}</definedName>
    <definedName name="wrn.Allpag3" hidden="1">{#N/A,#N/A,FALSE,"Cover";#N/A,#N/A,FALSE,"PAI";#N/A,#N/A,FALSE,"PALS991";#N/A,#N/A,FALSE,"PALS97A";#N/A,#N/A,FALSE,"AAHC";#N/A,#N/A,FALSE,"PCC";#N/A,#N/A,FALSE,"PAPs"}</definedName>
    <definedName name="wrn.ALLPAG4" localSheetId="0" hidden="1">{#N/A,#N/A,FALSE,"Cover";#N/A,#N/A,FALSE,"PAI";#N/A,#N/A,FALSE,"PALS991";#N/A,#N/A,FALSE,"PALS97A";#N/A,#N/A,FALSE,"AAHC";#N/A,#N/A,FALSE,"PCC";#N/A,#N/A,FALSE,"PAPs"}</definedName>
    <definedName name="wrn.ALLPAG4" hidden="1">{#N/A,#N/A,FALSE,"Cover";#N/A,#N/A,FALSE,"PAI";#N/A,#N/A,FALSE,"PALS991";#N/A,#N/A,FALSE,"PALS97A";#N/A,#N/A,FALSE,"AAHC";#N/A,#N/A,FALSE,"PCC";#N/A,#N/A,FALSE,"PAPs"}</definedName>
    <definedName name="wrn.allpages." localSheetId="0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LLPageSUM" localSheetId="0" hidden="1">{#N/A,#N/A,FALSE,"Cover";#N/A,#N/A,FALSE,"PAI";#N/A,#N/A,FALSE,"PALS991";#N/A,#N/A,FALSE,"PALS97A";#N/A,#N/A,FALSE,"AAHC";#N/A,#N/A,FALSE,"PCC";#N/A,#N/A,FALSE,"PAPs"}</definedName>
    <definedName name="wrn.ALLPageSUM" hidden="1">{#N/A,#N/A,FALSE,"Cover";#N/A,#N/A,FALSE,"PAI";#N/A,#N/A,FALSE,"PALS991";#N/A,#N/A,FALSE,"PALS97A";#N/A,#N/A,FALSE,"AAHC";#N/A,#N/A,FALSE,"PCC";#N/A,#N/A,FALSE,"PAPs"}</definedName>
    <definedName name="wrn.ALLPAGSUM" localSheetId="0" hidden="1">{#N/A,#N/A,FALSE,"Cover";#N/A,#N/A,FALSE,"PAI";#N/A,#N/A,FALSE,"PALS991";#N/A,#N/A,FALSE,"PALS97A";#N/A,#N/A,FALSE,"AAHC";#N/A,#N/A,FALSE,"PCC";#N/A,#N/A,FALSE,"PAPs"}</definedName>
    <definedName name="wrn.ALLPAGSUM" hidden="1">{#N/A,#N/A,FALSE,"Cover";#N/A,#N/A,FALSE,"PAI";#N/A,#N/A,FALSE,"PALS991";#N/A,#N/A,FALSE,"PALS97A";#N/A,#N/A,FALSE,"AAHC";#N/A,#N/A,FALSE,"PCC";#N/A,#N/A,FALSE,"PAPs"}</definedName>
    <definedName name="wrn.ALLPagSUm2" localSheetId="0" hidden="1">{#N/A,#N/A,FALSE,"Cover";#N/A,#N/A,FALSE,"PAI";#N/A,#N/A,FALSE,"PALS991";#N/A,#N/A,FALSE,"PALS97A";#N/A,#N/A,FALSE,"AAHC";#N/A,#N/A,FALSE,"PCC";#N/A,#N/A,FALSE,"PAPs"}</definedName>
    <definedName name="wrn.ALLPagSUm2" hidden="1">{#N/A,#N/A,FALSE,"Cover";#N/A,#N/A,FALSE,"PAI";#N/A,#N/A,FALSE,"PALS991";#N/A,#N/A,FALSE,"PALS97A";#N/A,#N/A,FALSE,"AAHC";#N/A,#N/A,FALSE,"PCC";#N/A,#N/A,FALSE,"PAPs"}</definedName>
    <definedName name="wrn.ALLPRINT." localSheetId="0" hidden="1">{#N/A,#N/A,FALSE,"COST";#N/A,#N/A,FALSE,"INCOME";#N/A,#N/A,FALSE,"INTEREST";#N/A,#N/A,FALSE,"LAND SALE"}</definedName>
    <definedName name="wrn.ALLPRINT." hidden="1">{#N/A,#N/A,FALSE,"COST";#N/A,#N/A,FALSE,"INCOME";#N/A,#N/A,FALSE,"INTEREST";#N/A,#N/A,FALSE,"LAND SALE"}</definedName>
    <definedName name="wrn.ANADARKO." localSheetId="0" hidden="1">{"Table1",#N/A,FALSE,"ANADARKO";"Table2",#N/A,FALSE,"ANADARKO";"Table3",#N/A,FALSE,"ANADARKO";"Table3c",#N/A,FALSE,"ANADARKO";"Table3c2",#N/A,FALSE,"ANADARKO";"Table5",#N/A,FALSE,"ANADARKO"}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NALYSIS._.9507." localSheetId="0" hidden="1">{#N/A,#N/A,FALSE,"ABB HOLDING LTD"}</definedName>
    <definedName name="wrn.ANALYSIS._.9507." hidden="1">{#N/A,#N/A,FALSE,"ABB HOLDING LTD"}</definedName>
    <definedName name="WRN.ANALYSIS._.9511." localSheetId="0" hidden="1">{#N/A,#N/A,FALSE,"ABB HOLDING LTD"}</definedName>
    <definedName name="WRN.ANALYSIS._.9511." hidden="1">{#N/A,#N/A,FALSE,"ABB HOLDING LTD"}</definedName>
    <definedName name="wrn.Anglais." localSheetId="0" hidden="1">{#N/A,#N/A,FALSE,"Hypothèses"}</definedName>
    <definedName name="wrn.Anglais." hidden="1">{#N/A,#N/A,FALSE,"Hypothèses"}</definedName>
    <definedName name="wrn.annual" localSheetId="0" hidden="1">{#N/A,#N/A,FALSE,"earnings"}</definedName>
    <definedName name="wrn.annual" hidden="1">{#N/A,#N/A,FALSE,"earnings"}</definedName>
    <definedName name="wrn.Annual." localSheetId="0" hidden="1">{"Summary Info",#N/A,TRUE,"Summary-Annual";"Sources &amp; Uses",#N/A,TRUE,"Summary-Annual";"Development Program",#N/A,TRUE,"Summary-Annual";"Total Annual CF",#N/A,TRUE,"Summary-Annual";"Total Detailed CF",#N/A,TRUE,"Summary";"Entitlement Costs",#N/A,TRUE,"Ent &amp; Infr";"Infrastructure Costs",#N/A,TRUE,"Ent &amp; Infr";"Infrastructure Costs 2",#N/A,TRUE,"Ent &amp; Infr";"Infrastructure Costs 3",#N/A,TRUE,"Ent &amp; Infr";"Infrastructure Costs 4",#N/A,TRUE,"Ent &amp; Infr";"Res Summary",#N/A,TRUE,"Residential";"Res CF Annual",#N/A,TRUE,"Residential";"Res Detailed Annual",#N/A,TRUE,"Residential";"Res Detailed Annual3",#N/A,TRUE,"Residential";"Res Annual Detailed4",#N/A,TRUE,"Residential-Annual";"Rental Summary",#N/A,TRUE,"Residential";"Rental CF Annual",#N/A,TRUE,"Residential";"Rental Detailed Annual2",#N/A,TRUE,"Residential";"Retail Summary",#N/A,TRUE,"Residential";"Retail Budget",#N/A,TRUE,"Retail";"Retail CF Annual",#N/A,TRUE,"Retail";"Retail Detailed Annual",#N/A,TRUE,"Retail";"Retail Detailed Annual2",#N/A,TRUE,"Retail";"Hotel Annual",#N/A,TRUE,"Hotel";"CFD Annual",#N/A,TRUE,"CFD-Annual";"TIF1",#N/A,TRUE,"TIF - Annual";"TIF2",#N/A,TRUE,"TIF - Annual"}</definedName>
    <definedName name="wrn.Annual." hidden="1">{#N/A,#N/A,FALSE,"YPF"}</definedName>
    <definedName name="wrn.Annual._.Income._.Statement." localSheetId="0" hidden="1">{#N/A,#N/A,FALSE,"earnings"}</definedName>
    <definedName name="wrn.Annual._.Income._.Statement." hidden="1">{#N/A,#N/A,FALSE,"earnings"}</definedName>
    <definedName name="wrn.Annual._.Recap." localSheetId="0" hidden="1">{"Annual Recap",#N/A,FALSE,"Annual Recap"}</definedName>
    <definedName name="wrn.Annual._.Recap." hidden="1">{"Annual Recap",#N/A,FALSE,"Annual Recap"}</definedName>
    <definedName name="wrn.Annual._.Report." localSheetId="0" hidden="1">{#N/A,#N/A,FALSE,"TABLE_1 YTD- VALUES LAST YR(2)"}</definedName>
    <definedName name="wrn.Annual._.Report." hidden="1">{#N/A,#N/A,FALSE,"TABLE_1 YTD- VALUES LAST YR(2)"}</definedName>
    <definedName name="wrn.Annual._.revenue._.model." localSheetId="0" hidden="1">{#N/A,#N/A,FALSE,"earnings"}</definedName>
    <definedName name="wrn.Annual._.revenue._.model." hidden="1">{#N/A,#N/A,FALSE,"earnings"}</definedName>
    <definedName name="wrn.Annual._.Summary." localSheetId="0" hidden="1">{"AllAnnualSummariesSheet",#N/A,TRUE,"Annual Summaries"}</definedName>
    <definedName name="wrn.Annual._.Summary." hidden="1">{"AllAnnualSummariesSheet",#N/A,TRUE,"Annual Summaries"}</definedName>
    <definedName name="wrn.Annual._.Summary.dv" localSheetId="0" hidden="1">{"AllAnnualSummariesSheet",#N/A,TRUE,"Annual Summaries"}</definedName>
    <definedName name="wrn.Annual._.Summary.dv" hidden="1">{"AllAnnualSummariesSheet",#N/A,TRUE,"Annual Summaries"}</definedName>
    <definedName name="wrn.Annual_n_Quarterly." localSheetId="0" hidden="1">{"Annual",#N/A,FALSE,"Sales &amp; Market";"Quarterly",#N/A,FALSE,"Sales &amp; Market"}</definedName>
    <definedName name="wrn.Annual_n_Quarterly." hidden="1">{"Annual",#N/A,FALSE,"Sales &amp; Market";"Quarterly",#N/A,FALSE,"Sales &amp; Market"}</definedName>
    <definedName name="wrn.AnnualRentRoll" localSheetId="0" hidden="1">{"AnnualRentRoll",#N/A,FALSE,"RentRoll"}</definedName>
    <definedName name="wrn.AnnualRentRoll" hidden="1">{"AnnualRentRoll",#N/A,FALSE,"RentRoll"}</definedName>
    <definedName name="wrn.AnnualRentRoll." localSheetId="0" hidden="1">{"AnnualRentRoll",#N/A,FALSE,"RentRoll"}</definedName>
    <definedName name="wrn.AnnualRentRoll." hidden="1">{"AnnualRentRoll",#N/A,FALSE,"RentRoll"}</definedName>
    <definedName name="wrn.appendix._.c." localSheetId="0" hidden="1">{"interim 20",#N/A,TRUE,"Interim";"landsale 20",#N/A,TRUE,"LandSale";"noi 20",#N/A,TRUE,"NOI";"bldg sale 20",#N/A,TRUE,"BldgSale";"aff hsg",#N/A,TRUE,"AffHsg"}</definedName>
    <definedName name="wrn.appendix._.c." hidden="1">{"interim 20",#N/A,TRUE,"Interim";"landsale 20",#N/A,TRUE,"LandSale";"noi 20",#N/A,TRUE,"NOI";"bldg sale 20",#N/A,TRUE,"BldgSale";"aff hsg",#N/A,TRUE,"AffHsg"}</definedName>
    <definedName name="wrn.APRIL." localSheetId="0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QUIROR._.DCF._from_DBAB_1" localSheetId="0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localSheetId="0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localSheetId="0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2" localSheetId="0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2" localSheetId="0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3" localSheetId="0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4" localSheetId="0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5" localSheetId="0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sia._.Consolidation." localSheetId="0" hidden="1">{#N/A,#N/A,FALSE,"Summary";#N/A,#N/A,FALSE,"C Mth";#N/A,#N/A,FALSE,"YTD";#N/A,#N/A,FALSE,"Highlight";#N/A,#N/A,FALSE,"Fcst";#N/A,#N/A,FALSE,"Fcst Highlight"}</definedName>
    <definedName name="wrn.Asia._.Consolidation." hidden="1">{#N/A,#N/A,FALSE,"Summary";#N/A,#N/A,FALSE,"C Mth";#N/A,#N/A,FALSE,"YTD";#N/A,#N/A,FALSE,"Highlight";#N/A,#N/A,FALSE,"Fcst";#N/A,#N/A,FALSE,"Fcst Highlight"}</definedName>
    <definedName name="wrn.Assumptions." localSheetId="0" hidden="1">{"Assumptions",#N/A,FALSE,"Assum"}</definedName>
    <definedName name="wrn.assumptions." hidden="1">{"baseassum",#N/A,FALSE,"BASEDCF";"bassum2",#N/A,FALSE,"BASEDCF";"hmix",#N/A,FALSE,"BASEDCF"}</definedName>
    <definedName name="wrn.Auctions._.Financials." localSheetId="0" hidden="1">{"Auctions Income Statement",#N/A,FALSE,"P&amp;L";"Auctions Balance Sheet",#N/A,FALSE,"Balsht (audited)";"Auctions Cash Flow",#N/A,FALSE,"Cash (audited)"}</definedName>
    <definedName name="wrn.Auctions._.Financials." hidden="1">{"Auctions Income Statement",#N/A,FALSE,"P&amp;L";"Auctions Balance Sheet",#N/A,FALSE,"Balsht (audited)";"Auctions Cash Flow",#N/A,FALSE,"Cash (audited)"}</definedName>
    <definedName name="wrn.August." localSheetId="0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hidden="1">{"p&amp;lSUM",#N/A,FALSE,"P&amp;L";"DETAIL",#N/A,FALSE,"P&amp;L";"% revenue",#N/A,FALSE,"P&amp;L";"% growth",#N/A,FALSE,"P&amp;L";"summary",#N/A,FALSE,"Summary";"chart",#N/A,FALSE,"Summary"}</definedName>
    <definedName name="wrn.august1" localSheetId="0" hidden="1">{"p&amp;lSUM",#N/A,FALSE,"P&amp;L";"DETAIL",#N/A,FALSE,"P&amp;L";"% revenue",#N/A,FALSE,"P&amp;L";"% growth",#N/A,FALSE,"P&amp;L";"summary",#N/A,FALSE,"Summary";"chart",#N/A,FALSE,"Summary"}</definedName>
    <definedName name="wrn.august1" hidden="1">{"p&amp;lSUM",#N/A,FALSE,"P&amp;L";"DETAIL",#N/A,FALSE,"P&amp;L";"% revenue",#N/A,FALSE,"P&amp;L";"% growth",#N/A,FALSE,"P&amp;L";"summary",#N/A,FALSE,"Summary";"chart",#N/A,FALSE,"Summary"}</definedName>
    <definedName name="wrn.Auto._.Comp." localSheetId="0" hidden="1">{#N/A,#N/A,FALSE,"Sheet1"}</definedName>
    <definedName name="wrn.Auto._.Comp." hidden="1">{#N/A,#N/A,FALSE,"Sheet1"}</definedName>
    <definedName name="wrn.Auto._.Comp2." localSheetId="0" hidden="1">{#N/A,#N/A,FALSE,"Sheet1"}</definedName>
    <definedName name="wrn.Auto._.Comp2." hidden="1">{#N/A,#N/A,FALSE,"Sheet1"}</definedName>
    <definedName name="wrn.Automotive._.Services._.Financials." localSheetId="0" hidden="1">{"ADESA Income Statement",#N/A,FALSE,"P&amp;L";"ADESA Balance Sheet",#N/A,FALSE,"Balsht (audited)";"ADESA Cash Flow",#N/A,FALSE,"Cash (audited)"}</definedName>
    <definedName name="wrn.Automotive._.Services._.Financials." hidden="1">{"ADESA Income Statement",#N/A,FALSE,"P&amp;L";"ADESA Balance Sheet",#N/A,FALSE,"Balsht (audited)";"ADESA Cash Flow",#N/A,FALSE,"Cash (audited)"}</definedName>
    <definedName name="wrn.Aventis._.Analysis." localSheetId="0" hidden="1">{"P&amp;Lforaventis",#N/A,FALSE,"Franchises";"aventisP&amp;L",#N/A,FALSE,"Franchises";"inflam franchise",#N/A,FALSE,"Franchises"}</definedName>
    <definedName name="wrn.Aventis._.Analysis." hidden="1">{"P&amp;Lforaventis",#N/A,FALSE,"Franchises";"aventisP&amp;L",#N/A,FALSE,"Franchises";"inflam franchise",#N/A,FALSE,"Franchises"}</definedName>
    <definedName name="wrn.aventis._.analysis.1" localSheetId="0" hidden="1">{"P&amp;Lforaventis",#N/A,FALSE,"Franchises";"aventisP&amp;L",#N/A,FALSE,"Franchises";"inflam franchise",#N/A,FALSE,"Franchises"}</definedName>
    <definedName name="wrn.aventis._.analysis.1" hidden="1">{"P&amp;Lforaventis",#N/A,FALSE,"Franchises";"aventisP&amp;L",#N/A,FALSE,"Franchises";"inflam franchise",#N/A,FALSE,"Franchises"}</definedName>
    <definedName name="wrn.away." localSheetId="0" hidden="1">{"away stand alones",#N/A,FALSE,"Target"}</definedName>
    <definedName name="wrn.away." hidden="1">{"away stand alones",#N/A,FALSE,"Target"}</definedName>
    <definedName name="wrn.b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ck._.Page." localSheetId="0" hidden="1">{"Back Page",#N/A,FALSE,"Front and Back"}</definedName>
    <definedName name="wrn.Back._.Page." hidden="1">{"Back Page",#N/A,FALSE,"Front and Back"}</definedName>
    <definedName name="wrn.backup." localSheetId="0" hidden="1">{"background",#N/A,FALSE,"CS First Boston Merger Model";"inputs",#N/A,FALSE,"CS First Boston Merger Model"}</definedName>
    <definedName name="wrn.backup." hidden="1">{"background",#N/A,FALSE,"CS First Boston Merger Model";"inputs",#N/A,FALSE,"CS First Boston Merger Model"}</definedName>
    <definedName name="wrn.balance._.sheet." localSheetId="0" hidden="1">{"bs",#N/A,FALSE,"SCF"}</definedName>
    <definedName name="wrn.BALANCE._.SHEET." hidden="1">{"BALANCE SHEET",#N/A,FALSE,"Balance Sheet"}</definedName>
    <definedName name="wrn.balance._.sheet.b" localSheetId="0" hidden="1">{"bs",#N/A,FALSE,"SCF"}</definedName>
    <definedName name="wrn.balance._.sheet.b" hidden="1">{"bs",#N/A,FALSE,"SCF"}</definedName>
    <definedName name="wrn.balance._.sheet.bc" localSheetId="0" hidden="1">{"bs",#N/A,FALSE,"SCF"}</definedName>
    <definedName name="wrn.balance._.sheet.bc" hidden="1">{"bs",#N/A,FALSE,"SCF"}</definedName>
    <definedName name="wrn.balance._.sheet.c" localSheetId="0" hidden="1">{"bs",#N/A,FALSE,"SCF"}</definedName>
    <definedName name="wrn.balance._.sheet.c" hidden="1">{"bs",#N/A,FALSE,"SCF"}</definedName>
    <definedName name="wrn.balance._.sheet2." localSheetId="0" hidden="1">{"bs",#N/A,FALSE,"SCF"}</definedName>
    <definedName name="wrn.balance._.sheet2." hidden="1">{"bs",#N/A,FALSE,"SCF"}</definedName>
    <definedName name="wrn.balance._.sheet3." localSheetId="0" hidden="1">{"bs",#N/A,FALSE,"SCF"}</definedName>
    <definedName name="wrn.balance._.sheet3." hidden="1">{"bs",#N/A,FALSE,"SCF"}</definedName>
    <definedName name="wrn.balance._.sheet4." localSheetId="0" hidden="1">{"bs",#N/A,FALSE,"SCF"}</definedName>
    <definedName name="wrn.balance._.sheet4." hidden="1">{"bs",#N/A,FALSE,"SCF"}</definedName>
    <definedName name="wrn.balance._sheet2." localSheetId="0" hidden="1">{"bs",#N/A,FALSE,"SCF"}</definedName>
    <definedName name="wrn.balance._sheet2." hidden="1">{"bs",#N/A,FALSE,"SCF"}</definedName>
    <definedName name="wrn.balance.sum.sheet" localSheetId="0" hidden="1">{"bs",#N/A,FALSE,"SCF"}</definedName>
    <definedName name="wrn.balance.sum.sheet" hidden="1">{"bs",#N/A,FALSE,"SCF"}</definedName>
    <definedName name="wrn.balanceeee.sheet2" localSheetId="0" hidden="1">{"bs",#N/A,FALSE,"SCF"}</definedName>
    <definedName name="wrn.balanceeee.sheet2" hidden="1">{"bs",#N/A,FALSE,"SCF"}</definedName>
    <definedName name="wrn.Bank._.Report." localSheetId="0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localSheetId="0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View." localSheetId="0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rranca." localSheetId="0" hidden="1">{#N/A,#N/A,FALSE,"Barranca"}</definedName>
    <definedName name="wrn.Barranca." hidden="1">{#N/A,#N/A,FALSE,"Barranca"}</definedName>
    <definedName name="wrn.bas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DEV." localSheetId="0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2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." localSheetId="0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asicss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Y." localSheetId="0" hidden="1">{"baypage1",#N/A,FALSE,"1995";"baypage2",#N/A,FALSE,"1995";"baypage3",#N/A,FALSE,"1995"}</definedName>
    <definedName name="wrn.BAY." hidden="1">{"baypage1",#N/A,FALSE,"1995";"baypage2",#N/A,FALSE,"1995";"baypage3",#N/A,FALSE,"1995"}</definedName>
    <definedName name="wrn.BBCert." localSheetId="0" hidden="1">{#N/A,#N/A,FALSE,"BBCert";#N/A,#N/A,FALSE,"Ineligible Summ";#N/A,#N/A,FALSE,"Ineligible Detail"}</definedName>
    <definedName name="wrn.BBCert." hidden="1">{#N/A,#N/A,FALSE,"BBCert";#N/A,#N/A,FALSE,"Ineligible Summ";#N/A,#N/A,FALSE,"Ineligible Detail"}</definedName>
    <definedName name="wrn.BEL." localSheetId="0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ewertungD." localSheetId="0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n.BewertungD.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n.BidCo." localSheetId="0" hidden="1">{#N/A,#N/A,FALSE,"BidCo Assumptions";#N/A,#N/A,FALSE,"Credit Stats";#N/A,#N/A,FALSE,"Bidco Summary";#N/A,#N/A,FALSE,"BIDCO Consolidated"}</definedName>
    <definedName name="wrn.BidCo." hidden="1">{#N/A,#N/A,FALSE,"BidCo Assumptions";#N/A,#N/A,FALSE,"Credit Stats";#N/A,#N/A,FALSE,"Bidco Summary";#N/A,#N/A,FALSE,"BIDCO Consolidated"}</definedName>
    <definedName name="wrn.bilan." localSheetId="0" hidden="1">{#N/A,#N/A,FALSE,"PAGE3";#N/A,#N/A,FALSE,"Pape4";#N/A,#N/A,FALSE,"Page5";#N/A,#N/A,FALSE,"PAGE6";#N/A,#N/A,FALSE,"Page7";#N/A,#N/A,FALSE,"Page8 971&amp;962";#N/A,#N/A,FALSE,"Page8 972&amp;971";#N/A,#N/A,FALSE,"Page9 971&amp;962";#N/A,#N/A,FALSE,"Page9 972&amp;972";#N/A,#N/A,FALSE,"PAGE10";#N/A,#N/A,FALSE,"Page11";#N/A,#N/A,FALSE,"page12";#N/A,#N/A,FALSE,"page13"}</definedName>
    <definedName name="wrn.bilan." hidden="1">{#N/A,#N/A,FALSE,"PAGE3";#N/A,#N/A,FALSE,"Pape4";#N/A,#N/A,FALSE,"Page5";#N/A,#N/A,FALSE,"PAGE6";#N/A,#N/A,FALSE,"Page7";#N/A,#N/A,FALSE,"Page8 971&amp;962";#N/A,#N/A,FALSE,"Page8 972&amp;971";#N/A,#N/A,FALSE,"Page9 971&amp;962";#N/A,#N/A,FALSE,"Page9 972&amp;972";#N/A,#N/A,FALSE,"PAGE10";#N/A,#N/A,FALSE,"Page11";#N/A,#N/A,FALSE,"page12";#N/A,#N/A,FALSE,"page13"}</definedName>
    <definedName name="wrn.Bilanzen_GuV_Memo." localSheetId="0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rn.Bilanzen_GuV_Memo.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rn.BL_PL_NT." localSheetId="0" hidden="1">{#N/A,#N/A,FALSE,"BALANCE SHEET";#N/A,#N/A,FALSE,"P &amp; L (TAX)";#N/A,#N/A,FALSE,"NOTE 1";#N/A,#N/A,FALSE,"NOTE 2,3,4,5,6";#N/A,#N/A,FALSE,"Note 7,8(F.A)";#N/A,#N/A,FALSE,"Note 9,10"}</definedName>
    <definedName name="wrn.BL_PL_NT." hidden="1">{#N/A,#N/A,FALSE,"BALANCE SHEET";#N/A,#N/A,FALSE,"P &amp; L (TAX)";#N/A,#N/A,FALSE,"NOTE 1";#N/A,#N/A,FALSE,"NOTE 2,3,4,5,6";#N/A,#N/A,FALSE,"Note 7,8(F.A)";#N/A,#N/A,FALSE,"Note 9,10"}</definedName>
    <definedName name="wrn.BL94TAXRETURN." localSheetId="0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oard._.Reports." localSheetId="0" hidden="1">{#N/A,#N/A,FALSE,"M1s Board";#N/A,#N/A,FALSE,"M3 Board";#N/A,#N/A,FALSE,"M6 Board";#N/A,#N/A,FALSE,"M7";#N/A,#N/A,FALSE,"M7B";#N/A,#N/A,FALSE,"M8";#N/A,#N/A,FALSE,"M8A Board";#N/A,#N/A,FALSE,"AF1 Board"}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onds." localSheetId="0" hidden="1">{#N/A,#N/A,FALSE,"Bonds - Consol";#N/A,#N/A,FALSE,"Bonds - Lakes";#N/A,#N/A,FALSE,"Bonds - Chabot";#N/A,#N/A,FALSE,"Bonds - Diablo"}</definedName>
    <definedName name="wrn.Bonds." hidden="1">{#N/A,#N/A,FALSE,"Bonds - Consol";#N/A,#N/A,FALSE,"Bonds - Lakes";#N/A,#N/A,FALSE,"Bonds - Chabot";#N/A,#N/A,FALSE,"Bonds - Diablo"}</definedName>
    <definedName name="wrn.Book." localSheetId="0" hidden="1">{"EVA",#N/A,FALSE,"SMT2";#N/A,#N/A,FALSE,"Summary";#N/A,#N/A,FALSE,"Graphs";#N/A,#N/A,FALSE,"4 Panel"}</definedName>
    <definedName name="wrn.Book." hidden="1">{"EVA",#N/A,FALSE,"SMT2";#N/A,#N/A,FALSE,"Summary";#N/A,#N/A,FALSE,"Graphs";#N/A,#N/A,FALSE,"4 Panel"}</definedName>
    <definedName name="wrn.Book._.Output." localSheetId="0" hidden="1">{#N/A,#N/A,FALSE,"Title";#N/A,#N/A,FALSE,"Inputs";#N/A,#N/A,FALSE,"Impact";#N/A,#N/A,FALSE,"Sources &amp; Uses";#N/A,#N/A,FALSE,"Capitalization Impact";#N/A,#N/A,FALSE,"NEWCO Projections"}</definedName>
    <definedName name="wrn.Book._.Output." hidden="1">{#N/A,#N/A,FALSE,"Title";#N/A,#N/A,FALSE,"Inputs";#N/A,#N/A,FALSE,"Impact";#N/A,#N/A,FALSE,"Sources &amp; Uses";#N/A,#N/A,FALSE,"Capitalization Impact";#N/A,#N/A,FALSE,"NEWCO Projections"}</definedName>
    <definedName name="wrn.Book._.Reports." localSheetId="0" hidden="1">{"Current Month",#N/A,FALSE,"Current Compar.";"Year-To-Date",#N/A,FALSE,"Year Comparison";"Forecast",#N/A,FALSE,"Comparison NOI";"Actual Input",#N/A,FALSE,"Act...Ratios"}</definedName>
    <definedName name="wrn.Book._.Reports." hidden="1">{"Current Month",#N/A,FALSE,"Current Compar.";"Year-To-Date",#N/A,FALSE,"Year Comparison";"Forecast",#N/A,FALSE,"Comparison NOI";"Actual Input",#N/A,FALSE,"Act...Ratios"}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eakup." localSheetId="0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localSheetId="0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S._.Print." localSheetId="0" hidden="1">{"BalanceSheets1",#N/A,FALSE,"input"}</definedName>
    <definedName name="wrn.BS._.Print." hidden="1">{"BalanceSheets1",#N/A,FALSE,"input"}</definedName>
    <definedName name="wrn.BS_SCHEDULE." localSheetId="0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S_SCHEDULE.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SAnnualModel." localSheetId="0" hidden="1">{"BSAnnualModel",#N/A,FALSE,"BS"}</definedName>
    <definedName name="wrn.BSAnnualModel." hidden="1">{"BSAnnualModel",#N/A,FALSE,"BS"}</definedName>
    <definedName name="wrn.BUDGET." localSheetId="0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localSheetId="0" hidden="1">{#N/A,#N/A,FALSE,"Mill 5"}</definedName>
    <definedName name="wrn.Budget._.Analysis." hidden="1">{#N/A,#N/A,FALSE,"Mill 5"}</definedName>
    <definedName name="wrn.budget._.balance._.sheet." localSheetId="0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0" hidden="1">{"budget992000 capex",#N/A,FALSE,"Celtel alternative 6"}</definedName>
    <definedName name="wrn.budget._.capex." hidden="1">{"budget992000 capex",#N/A,FALSE,"Celtel alternative 6"}</definedName>
    <definedName name="wrn.budget._.customers." localSheetId="0" hidden="1">{"budget992000_customers",#N/A,FALSE,"Celtel alternative 6"}</definedName>
    <definedName name="wrn.budget._.customers." hidden="1">{"budget992000_customers",#N/A,FALSE,"Celtel alternative 6"}</definedName>
    <definedName name="wrn.Budget._.Package." localSheetId="0" hidden="1">{#N/A,#N/A,FALSE,"Comparison";#N/A,#N/A,FALSE,"Income Statement";#N/A,#N/A,FALSE,"Balance Sheet";#N/A,#N/A,FALSE,"Cash Flow";#N/A,#N/A,FALSE,"Material &amp; Labor";#N/A,#N/A,FALSE,"Operating OH"}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._.profit._.and._.loss." localSheetId="0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Review._.1997." localSheetId="0" hidden="1">{#N/A,#N/A,TRUE,"USD Summary";#N/A,#N/A,TRUE,"USD Summary Trend";#N/A,#N/A,TRUE,"USD Consolidation";#N/A,#N/A,TRUE,"HDS";#N/A,#N/A,TRUE,"WFS";#N/A,#N/A,TRUE,"HDT";#N/A,#N/A,TRUE,"TWF";#N/A,#N/A,TRUE,"HDM";#N/A,#N/A,TRUE,"WFM";#N/A,#N/A,TRUE,"HDC";#N/A,#N/A,TRUE,"HDSH";#N/A,#N/A,TRUE,"HDSZ";#N/A,#N/A,TRUE,"HDCE";#N/A,#N/A,TRUE,"HDTW";#N/A,#N/A,TRUE,"HDK";#N/A,#N/A,TRUE,"HDI";#N/A,#N/A,TRUE,"WFI";#N/A,#N/A,TRUE,"HDIN";#N/A,#N/A,TRUE,"HDJ";#N/A,#N/A,TRUE,"HDP";#N/A,#N/A,TRUE,"HDV";#N/A,#N/A,TRUE,"Forex"}</definedName>
    <definedName name="wrn.Budget._.Review._.1997." hidden="1">{#N/A,#N/A,TRUE,"USD Summary";#N/A,#N/A,TRUE,"USD Summary Trend";#N/A,#N/A,TRUE,"USD Consolidation";#N/A,#N/A,TRUE,"HDS";#N/A,#N/A,TRUE,"WFS";#N/A,#N/A,TRUE,"HDT";#N/A,#N/A,TRUE,"TWF";#N/A,#N/A,TRUE,"HDM";#N/A,#N/A,TRUE,"WFM";#N/A,#N/A,TRUE,"HDC";#N/A,#N/A,TRUE,"HDSH";#N/A,#N/A,TRUE,"HDSZ";#N/A,#N/A,TRUE,"HDCE";#N/A,#N/A,TRUE,"HDTW";#N/A,#N/A,TRUE,"HDK";#N/A,#N/A,TRUE,"HDI";#N/A,#N/A,TRUE,"WFI";#N/A,#N/A,TRUE,"HDIN";#N/A,#N/A,TRUE,"HDJ";#N/A,#N/A,TRUE,"HDP";#N/A,#N/A,TRUE,"HDV";#N/A,#N/A,TRUE,"Forex"}</definedName>
    <definedName name="wrn.budget._.tariffs._.and._.usage." localSheetId="0" hidden="1">{"budget992000 tariff and usage",#N/A,FALSE,"Celtel alternative 6"}</definedName>
    <definedName name="wrn.budget._.tariffs._.and._.usage." hidden="1">{"budget992000 tariff and usage",#N/A,FALSE,"Celtel alternative 6"}</definedName>
    <definedName name="wrn.BUDGET2004." localSheetId="0" hidden="1">{#N/A,#N/A,FALSE,"BUD04 HEA";#N/A,#N/A,FALSE,"BUD04 Earnings";#N/A,#N/A,FALSE,"BUD04 Expenses"}</definedName>
    <definedName name="wrn.BUDGET2004." hidden="1">{#N/A,#N/A,FALSE,"BUD04 HEA";#N/A,#N/A,FALSE,"BUD04 Earnings";#N/A,#N/A,FALSE,"BUD04 Expenses"}</definedName>
    <definedName name="wrn.Buildups." localSheetId="0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localSheetId="0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c" localSheetId="0" hidden="1">{"p&amp;lSUM",#N/A,FALSE,"P&amp;L";"DETAIL",#N/A,FALSE,"P&amp;L";"% revenue",#N/A,FALSE,"P&amp;L";"% growth",#N/A,FALSE,"P&amp;L";"summary",#N/A,FALSE,"Summary";"chart",#N/A,FALSE,"Summary"}</definedName>
    <definedName name="wrn.c" hidden="1">{"p&amp;lSUM",#N/A,FALSE,"P&amp;L";"DETAIL",#N/A,FALSE,"P&amp;L";"% revenue",#N/A,FALSE,"P&amp;L";"% growth",#N/A,FALSE,"P&amp;L";"summary",#N/A,FALSE,"Summary";"chart",#N/A,FALSE,"Summary"}</definedName>
    <definedName name="wrn.Cadispa._.SA." localSheetId="0" hidden="1">{"Cadispa SA",#N/A,FALSE,"Cadispa SA"}</definedName>
    <definedName name="wrn.Cadispa._.SA." hidden="1">{"Cadispa SA",#N/A,FALSE,"Cadispa SA"}</definedName>
    <definedName name="wrn.calc_all." localSheetId="0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nada." localSheetId="0" hidden="1">{"Canada",#N/A,FALSE,"Canada"}</definedName>
    <definedName name="wrn.Canada." hidden="1">{"Canada",#N/A,FALSE,"Canada"}</definedName>
    <definedName name="wrn.Capacity." localSheetId="0" hidden="1">{#N/A,#N/A,FALSE,"Capacity"}</definedName>
    <definedName name="wrn.Capacity." hidden="1">{#N/A,#N/A,FALSE,"Capacity"}</definedName>
    <definedName name="wrn.CAPEX." localSheetId="0" hidden="1">{"capex_annual",#N/A,TRUE,"CAPEX";"capex_monthly",#N/A,TRUE,"CAPEX"}</definedName>
    <definedName name="wrn.CAPEX." hidden="1">{"capex_annual",#N/A,TRUE,"CAPEX";"capex_monthly",#N/A,TRUE,"CAPEX"}</definedName>
    <definedName name="wrn.Capital._.allowance." localSheetId="0" hidden="1">{#N/A,#N/A,FALSE,"Assets 31Mar01"}</definedName>
    <definedName name="wrn.Capital._.allowance." hidden="1">{#N/A,#N/A,FALSE,"Assets 31Mar01"}</definedName>
    <definedName name="wrn.Carterco." localSheetId="0" hidden="1">{#N/A,#N/A,FALSE,"Carterco"}</definedName>
    <definedName name="wrn.Carterco." hidden="1">{#N/A,#N/A,FALSE,"Carterco"}</definedName>
    <definedName name="wrn.cash." localSheetId="0" hidden="1">{#N/A,#N/A,FALSE,"Fund II";#N/A,#N/A,FALSE,"Annex";#N/A,#N/A,FALSE,"Fund III"}</definedName>
    <definedName name="wrn.cash." hidden="1">{#N/A,#N/A,FALSE,"Fund II";#N/A,#N/A,FALSE,"Annex";#N/A,#N/A,FALSE,"Fund III"}</definedName>
    <definedName name="wrn.Cash._.Flow." localSheetId="0" hidden="1">{"Cash Flow",#N/A,FALSE,"Multiples"}</definedName>
    <definedName name="wrn.Cash._.Flow." hidden="1">{"Cash Flow",#N/A,FALSE,"Multiples"}</definedName>
    <definedName name="wrn.Cash._.Flow._.and._.Matrix." localSheetId="0" hidden="1">{#N/A,#N/A,FALSE,"Matrix";#N/A,#N/A,FALSE,"Cash Flow";#N/A,#N/A,FALSE,"10 Year Cost Analysis"}</definedName>
    <definedName name="wrn.Cash._.Flow._.and._.Matrix." hidden="1">{#N/A,#N/A,FALSE,"Matrix";#N/A,#N/A,FALSE,"Cash Flow";#N/A,#N/A,FALSE,"10 Year Cost Analysis"}</definedName>
    <definedName name="wrn.Cash._.Flow._.vs._.PnL.Phase3" localSheetId="0" hidden="1">{"CF vs PnL",#N/A,FALSE,"CF vs P&amp;L"}</definedName>
    <definedName name="wrn.Cash._.Flow._.vs._.PnL.Phase3" hidden="1">{"CF vs PnL",#N/A,FALSE,"CF vs P&amp;L"}</definedName>
    <definedName name="wrn.CASH._.FLOWS._.ONLY." localSheetId="0" hidden="1">{#N/A,#N/A,FALSE,"Assumptions";#N/A,#N/A,FALSE,"Consol CF";#N/A,#N/A,FALSE,"Hacienda CF";#N/A,#N/A,FALSE,"Chabot CF";#N/A,#N/A,FALSE,"Diablo CF"}</definedName>
    <definedName name="wrn.CASH._.FLOWS._.ONLY." hidden="1">{#N/A,#N/A,FALSE,"Assumptions";#N/A,#N/A,FALSE,"Consol CF";#N/A,#N/A,FALSE,"Hacienda CF";#N/A,#N/A,FALSE,"Chabot CF";#N/A,#N/A,FALSE,"Diablo CF"}</definedName>
    <definedName name="wrn.Cash._.Plan." localSheetId="0" hidden="1">{"cash plan",#N/A,FALSE,"fccashflow"}</definedName>
    <definedName name="wrn.Cash._.Plan." hidden="1">{"cash plan",#N/A,FALSE,"fccashflow"}</definedName>
    <definedName name="wrn.cash._1" localSheetId="0" hidden="1">{#N/A,#N/A,FALSE,"Fund II";#N/A,#N/A,FALSE,"Annex";#N/A,#N/A,FALSE,"Fund III"}</definedName>
    <definedName name="wrn.cash._1" hidden="1">{#N/A,#N/A,FALSE,"Fund II";#N/A,#N/A,FALSE,"Annex";#N/A,#N/A,FALSE,"Fund III"}</definedName>
    <definedName name="wrn.Cashflow." localSheetId="0" hidden="1">{"Cashflow",#N/A,FALSE,"Lot 101 - Feas - B &amp; B"}</definedName>
    <definedName name="wrn.Cashflow." hidden="1">{"Cashflow",#N/A,FALSE,"Lot 101 - Feas - B &amp; B"}</definedName>
    <definedName name="wrn.Cashflow._.Summary." localSheetId="0" hidden="1">{#N/A,#N/A,FALSE,"Cashflow"}</definedName>
    <definedName name="wrn.Cashflow._.Summary." hidden="1">{#N/A,#N/A,FALSE,"Cashflow"}</definedName>
    <definedName name="wrn.cb1p1control." localSheetId="0" hidden="1">{#N/A,#N/A,FALSE,"FD1ADM(R)";#N/A,#N/A,FALSE,"FD1ADC(R)";#N/A,#N/A,FALSE,"FD2EQPMC(R)";#N/A,#N/A,FALSE,"FD3CCMC(R)"}</definedName>
    <definedName name="wrn.cb1p1control." hidden="1">{#N/A,#N/A,FALSE,"FD1ADM(R)";#N/A,#N/A,FALSE,"FD1ADC(R)";#N/A,#N/A,FALSE,"FD2EQPMC(R)";#N/A,#N/A,FALSE,"FD3CCMC(R)"}</definedName>
    <definedName name="wrn.CentDist." localSheetId="0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f." localSheetId="0" hidden="1">{"one",#N/A,FALSE,"cf";"two",#N/A,FALSE,"cf"}</definedName>
    <definedName name="wrn.cf." hidden="1">{"one",#N/A,FALSE,"cf";"two",#N/A,FALSE,"cf"}</definedName>
    <definedName name="wrn.CF._.Print.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2" localSheetId="0" hidden="1">{"one",#N/A,FALSE,"cf";"two",#N/A,FALSE,"cf"}</definedName>
    <definedName name="wrn.cf.2" hidden="1">{"one",#N/A,FALSE,"cf";"two",#N/A,FALSE,"cf"}</definedName>
    <definedName name="wrn.cf.3" localSheetId="0" hidden="1">{"one",#N/A,FALSE,"cf";"two",#N/A,FALSE,"cf"}</definedName>
    <definedName name="wrn.cf.3" hidden="1">{"one",#N/A,FALSE,"cf";"two",#N/A,FALSE,"cf"}</definedName>
    <definedName name="wrn.CfmsDist." localSheetId="0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localSheetId="0" hidden="1">{"CFSModel",#N/A,FALSE,"CFS"}</definedName>
    <definedName name="wrn.CFSModel." hidden="1">{"CFSModel",#N/A,FALSE,"CFS"}</definedName>
    <definedName name="wrn.charts." localSheetId="0" hidden="1">{"newyork",#N/A,FALSE,"Plots-Annually";"florida",#N/A,FALSE,"Plots-Annually"}</definedName>
    <definedName name="wrn.Charts." hidden="1">{"Revenue chart",#N/A,FALSE,"Charts";"ExpenseChart",#N/A,FALSE,"Charts";"Netincomechart",#N/A,FALSE,"Charts"}</definedName>
    <definedName name="wrn.CHESAPEAKE." localSheetId="0" hidden="1">{"CASHFLOW",#N/A,FALSE,"CHESAPEA";"ASSETVALUE",#N/A,FALSE,"CHESAPEA";"DATA",#N/A,FALSE,"CHESAPEA";"INCOME",#N/A,FALSE,"CHESAPEA"}</definedName>
    <definedName name="wrn.CHESAPEAKE." hidden="1">{"CASHFLOW",#N/A,FALSE,"CHESAPEA";"ASSETVALUE",#N/A,FALSE,"CHESAPEA";"DATA",#N/A,FALSE,"CHESAPEA";"INCOME",#N/A,FALSE,"CHESAPEA"}</definedName>
    <definedName name="wrn.CIC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der." localSheetId="0" hidden="1">{#N/A,#N/A,FALSE,"Cider Segment";#N/A,#N/A,FALSE,"Bulmers";#N/A,#N/A,FALSE,"Ritz";#N/A,#N/A,FALSE,"Stag";#N/A,#N/A,FALSE,"Cider Others"}</definedName>
    <definedName name="wrn.Cider." hidden="1">{#N/A,#N/A,FALSE,"Cider Segment";#N/A,#N/A,FALSE,"Bulmers";#N/A,#N/A,FALSE,"Ritz";#N/A,#N/A,FALSE,"Stag";#N/A,#N/A,FALSE,"Cider Others"}</definedName>
    <definedName name="wrn.Clam." localSheetId="0" hidden="1">{"Clam",#N/A,FALSE,"Clam"}</definedName>
    <definedName name="wrn.Clam." hidden="1">{"Clam",#N/A,FALSE,"Clam"}</definedName>
    <definedName name="wrn.client." localSheetId="0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._.cfbs." localSheetId="0" hidden="1">{"client cfbs",#N/A,FALSE,"Client"}</definedName>
    <definedName name="wrn.client._.cfbs." hidden="1">{"client cfbs",#N/A,FALSE,"Client"}</definedName>
    <definedName name="wrn.client._.is." localSheetId="0" hidden="1">{"client is",#N/A,FALSE,"Client"}</definedName>
    <definedName name="wrn.client._.is." hidden="1">{"client is",#N/A,FALSE,"Client"}</definedName>
    <definedName name="wrn.Client._.Sheets." localSheetId="0" hidden="1">{"Netbacks",#N/A,FALSE,"Netbacks";"IS Quarterly",#N/A,FALSE,"Income Statement";"IS Yearly",#N/A,FALSE,"Income Statement";"Corporate Profile",#N/A,FALSE,"Corporate Profile"}</definedName>
    <definedName name="wrn.Client._.Sheets." hidden="1">{"Netbacks",#N/A,FALSE,"Netbacks";"IS Quarterly",#N/A,FALSE,"Income Statement";"IS Yearly",#N/A,FALSE,"Income Statement";"Corporate Profile",#N/A,FALSE,"Corporate Profile"}</definedName>
    <definedName name="wrn.client._.stats." localSheetId="0" hidden="1">{"client stats",#N/A,FALSE,"Client"}</definedName>
    <definedName name="wrn.client._.stats." hidden="1">{"client stats",#N/A,FALSE,"Client"}</definedName>
    <definedName name="wrn.Client3." localSheetId="0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0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" localSheetId="0" hidden="1">{#N/A,#N/A,FALSE,"FAB VENDORS";"BUD SUM",#N/A,FALSE,"BUD SUM WO TEX"}</definedName>
    <definedName name="WRN.CM" hidden="1">{#N/A,#N/A,FALSE,"FAB VENDORS";"BUD SUM",#N/A,FALSE,"BUD SUM WO TEX"}</definedName>
    <definedName name="WRN.CM1" localSheetId="0" hidden="1">{#N/A,#N/A,FALSE,"FAB VENDORS";"BUD SUM",#N/A,FALSE,"BUD SUM WO TEX"}</definedName>
    <definedName name="WRN.CM1" hidden="1">{#N/A,#N/A,FALSE,"FAB VENDORS";"BUD SUM",#N/A,FALSE,"BUD SUM WO TEX"}</definedName>
    <definedName name="wrn.com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bination.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0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MISSION." localSheetId="0" hidden="1">{"FORM17",#N/A,FALSE,"Commission1";"FORM17.1",#N/A,FALSE,"Commission2"}</definedName>
    <definedName name="wrn.COMMISSION." hidden="1">{"FORM17",#N/A,FALSE,"Commission1";"FORM17.1",#N/A,FALSE,"Commission2"}</definedName>
    <definedName name="wrn.COMMISSIONER." localSheetId="0" hidden="1">{#N/A,#N/A,FALSE,"BS_OCIF OIB";#N/A,#N/A,FALSE,"PL_OCIF OIB";#N/A,#N/A,FALSE,"SCH_A-B_OCIF OIB";#N/A,#N/A,FALSE,"AVG_CALC OIB"}</definedName>
    <definedName name="wrn.COMMISSIONER." hidden="1">{#N/A,#N/A,FALSE,"BS_OCIF OIB";#N/A,#N/A,FALSE,"PL_OCIF OIB";#N/A,#N/A,FALSE,"SCH_A-B_OCIF OIB";#N/A,#N/A,FALSE,"AVG_CALC OIB"}</definedName>
    <definedName name="wrn.COMP." localSheetId="0" hidden="1">{"CF",#N/A,FALSE,"Stone Energy";"Mult",#N/A,FALSE,"Stone Energy";"Cover",#N/A,FALSE,"Stone Energy";"TEV",#N/A,FALSE,"Stone Energy"}</definedName>
    <definedName name="wrn.COMP." hidden="1">{"CF",#N/A,FALSE,"Stone Energy";"Mult",#N/A,FALSE,"Stone Energy";"Cover",#N/A,FALSE,"Stone Energy";"TEV",#N/A,FALSE,"Stone Energy"}</definedName>
    <definedName name="wrn.Comp1." localSheetId="0" hidden="1">{"BSsheet2",#N/A,FALSE,"BS and Multiple Analysis";"netback2",#N/A,FALSE,"Reserve and Netback Analysis"}</definedName>
    <definedName name="wrn.Comp1." hidden="1">{"BSsheet2",#N/A,FALSE,"BS and Multiple Analysis";"netback2",#N/A,FALSE,"Reserve and Netback Analysis"}</definedName>
    <definedName name="wrn.COMPARATIVE." localSheetId="0" hidden="1">{#N/A,#N/A,FALSE,"94-95";#N/A,#N/A,FALSE,"BUD";#N/A,#N/A,FALSE,"YTD"}</definedName>
    <definedName name="wrn.COMPARATIVE." hidden="1">{#N/A,#N/A,FALSE,"94-95";#N/A,#N/A,FALSE,"BUD";#N/A,#N/A,FALSE,"YTD"}</definedName>
    <definedName name="wrn.COMPCO." localSheetId="0" hidden="1">{"Page1",#N/A,FALSE,"CompCo";"Page2",#N/A,FALSE,"CompCo"}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co._.Only." localSheetId="0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co._from_DBAB_1" localSheetId="0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localSheetId="0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localSheetId="0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2" localSheetId="0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2" localSheetId="0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3" localSheetId="0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4" localSheetId="0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5" localSheetId="0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2" localSheetId="0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localSheetId="0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localSheetId="0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rint._.Out." localSheetId="0" hidden="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" hidden="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Set." localSheetId="0" hidden="1">{#N/A,#N/A,FALSE,"Full";#N/A,#N/A,FALSE,"Half";#N/A,#N/A,FALSE,"Op Expenses";#N/A,#N/A,FALSE,"Cap Charge";#N/A,#N/A,FALSE,"Cost C";#N/A,#N/A,FALSE,"PP&amp;E";#N/A,#N/A,FALSE,"R&amp;D"}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x" localSheetId="0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onent._.Analy." localSheetId="0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mps." localSheetId="0" hidden="1">{"comps",#N/A,FALSE,"comps";"notes",#N/A,FALSE,"comps"}</definedName>
    <definedName name="wrn.comps." hidden="1">{"comps",#N/A,FALSE,"comps";"notes",#N/A,FALSE,"comps"}</definedName>
    <definedName name="wrn.Concentration." localSheetId="0" hidden="1">{"CONCENTR",#N/A,FALSE,"PAHCPALS"}</definedName>
    <definedName name="wrn.Concentration." hidden="1">{"CONCENTR",#N/A,FALSE,"PAHCPALS"}</definedName>
    <definedName name="wrn.Concentration2" localSheetId="0" hidden="1">{"CONCENTR",#N/A,FALSE,"PAHCPALS"}</definedName>
    <definedName name="wrn.Concentration2" hidden="1">{"CONCENTR",#N/A,FALSE,"PAHCPALS"}</definedName>
    <definedName name="wrn.Concentration3" localSheetId="0" hidden="1">{"CONCENTR",#N/A,FALSE,"PAHCPALS"}</definedName>
    <definedName name="wrn.Concentration3" hidden="1">{"CONCENTR",#N/A,FALSE,"PAHCPALS"}</definedName>
    <definedName name="wrn.Concentration4" localSheetId="0" hidden="1">{"CONCENTR",#N/A,FALSE,"PAHCPALS"}</definedName>
    <definedName name="wrn.Concentration4" hidden="1">{"CONCENTR",#N/A,FALSE,"PAHCPALS"}</definedName>
    <definedName name="wrn.condensate." localSheetId="0" hidden="1">{"condensate",#N/A,FALSE,"CNTRYTYPE"}</definedName>
    <definedName name="wrn.condensate." hidden="1">{"condensate",#N/A,FALSE,"CNTRYTYPE"}</definedName>
    <definedName name="wrn.Condenser._.Summary." localSheetId="0" hidden="1">{#N/A,#N/A,FALSE,"SUMMARY";#N/A,#N/A,FALSE,"INPUTDATA";#N/A,#N/A,FALSE,"Condenser Performance"}</definedName>
    <definedName name="wrn.Condenser._.Summary." hidden="1">{#N/A,#N/A,FALSE,"SUMMARY";#N/A,#N/A,FALSE,"INPUTDATA";#N/A,#N/A,FALSE,"Condenser Performance"}</definedName>
    <definedName name="wrn.conditionnement." localSheetId="0" hidden="1">{#N/A,#N/A,FALSE,"PAGE21";#N/A,#N/A,FALSE,"Page22à25";#N/A,#N/A,FALSE,"Page26";#N/A,#N/A,FALSE,"Page27";#N/A,#N/A,FALSE,"Page28";#N/A,#N/A,FALSE,"Page29";#N/A,#N/A,FALSE,"Page30"}</definedName>
    <definedName name="wrn.conditionnement." hidden="1">{#N/A,#N/A,FALSE,"PAGE21";#N/A,#N/A,FALSE,"Page22à25";#N/A,#N/A,FALSE,"Page26";#N/A,#N/A,FALSE,"Page27";#N/A,#N/A,FALSE,"Page28";#N/A,#N/A,FALSE,"Page29";#N/A,#N/A,FALSE,"Page30"}</definedName>
    <definedName name="wrn.Congo." localSheetId="0" hidden="1">{"Congo",#N/A,FALSE,"Congo"}</definedName>
    <definedName name="wrn.Congo." hidden="1">{"Congo",#N/A,FALSE,"Congo"}</definedName>
    <definedName name="wrn.conso." localSheetId="0" hidden="1">{"conso",#N/A,FALSE,"cash flow"}</definedName>
    <definedName name="wrn.conso." hidden="1">{"conso",#N/A,FALSE,"cash flow"}</definedName>
    <definedName name="wrn.Consolidado." localSheetId="0" hidden="1">{#N/A,#N/A,FALSE,"COVER";#N/A,#N/A,FALSE,"Index";#N/A,#N/A,FALSE,"Non-Earning";#N/A,#N/A,FALSE,"Non-Earning_Recovery"}</definedName>
    <definedName name="wrn.Consolidado." hidden="1">{#N/A,#N/A,FALSE,"COVER";#N/A,#N/A,FALSE,"Index";#N/A,#N/A,FALSE,"Non-Earning";#N/A,#N/A,FALSE,"Non-Earning_Recovery"}</definedName>
    <definedName name="wrn.consolidated." localSheetId="0" hidden="1">{"income",#N/A,FALSE,"CONSOLIDATED";"value",#N/A,FALSE,"CONSOLIDATED"}</definedName>
    <definedName name="wrn.consolidated." hidden="1">{"income",#N/A,FALSE,"CONSOLIDATED";"value",#N/A,FALSE,"CONSOLIDATED"}</definedName>
    <definedName name="wrn.Consolidated._.Monthly." localSheetId="0" hidden="1">{"incstmtcm",#N/A,TRUE,"Inc Stmt (C)";"balshtcm",#N/A,TRUE,"Bal Sheet (C)";"scfcm",#N/A,TRUE,"Cash Flow (C)";"incmcfcm",#N/A,TRUE,"Inc mcf (C)"}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localSheetId="0" hidden="1">{"forecastcq",#N/A,TRUE,"Forecast (C)";"incstmtcq",#N/A,TRUE,"Inc Stmt (C)";"balshtcq",#N/A,TRUE,"Bal Sheet (C)";"scfcq",#N/A,TRUE,"Cash Flow (C)";"incmcfcq",#N/A,TRUE,"Inc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et." localSheetId="0" hidden="1">{"Consolidated IS w Ratios",#N/A,FALSE,"Consolidated";"Consolidated CF",#N/A,FALSE,"Consolidated";"Consolidated DCF",#N/A,FALSE,"Consolidated"}</definedName>
    <definedName name="wrn.Consolidated._.Set." hidden="1">{"Consolidated IS w Ratios",#N/A,FALSE,"Consolidated";"Consolidated CF",#N/A,FALSE,"Consolidated";"Consolidated DCF",#N/A,FALSE,"Consolidated"}</definedName>
    <definedName name="wrn.contribution." localSheetId="0" hidden="1">{#N/A,#N/A,FALSE,"Contribution Analysis"}</definedName>
    <definedName name="wrn.contribution." hidden="1">{#N/A,#N/A,FALSE,"Contribution Analysis"}</definedName>
    <definedName name="wrn.contribution.1" localSheetId="0" hidden="1">{#N/A,#N/A,FALSE,"Contribution Analysis"}</definedName>
    <definedName name="wrn.contribution.1" hidden="1">{#N/A,#N/A,FALSE,"Contribution Analysis"}</definedName>
    <definedName name="wrn.contributory._.asset._.charges." localSheetId="0" hidden="1">{"contributory1",#N/A,FALSE,"Contributory Assets Detail";"contributory2",#N/A,FALSE,"Contributory Assets Detail"}</definedName>
    <definedName name="wrn.contributory._.asset._.charges." hidden="1">{"contributory1",#N/A,FALSE,"Contributory Assets Detail";"contributory2",#N/A,FALSE,"Contributory Assets Detail"}</definedName>
    <definedName name="wrn.cooper." localSheetId="0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rp.._.Profile." localSheetId="0" hidden="1">{"Corp Pro",#N/A,FALSE,"D"}</definedName>
    <definedName name="wrn.Corp.._.Profile." hidden="1">{"Corp Pro",#N/A,FALSE,"D"}</definedName>
    <definedName name="wrn.Corp.Profile." localSheetId="0" hidden="1">{"Corp. Profile",#N/A,FALSE,"Corporate Profile"}</definedName>
    <definedName name="wrn.Corp.Profile." hidden="1">{"Corp. Profile",#N/A,FALSE,"Corporate Profile"}</definedName>
    <definedName name="wrn.Corporate." localSheetId="0" hidden="1">{"Corporate",#N/A,FALSE,"Corporate Profile"}</definedName>
    <definedName name="wrn.Corporate." hidden="1">{"Corporate",#N/A,FALSE,"Corporate Profile"}</definedName>
    <definedName name="wrn.Corporate._.Profile." localSheetId="0" hidden="1">{"Corporate Profile",#N/A,FALSE,"D"}</definedName>
    <definedName name="wrn.Corporate._.Profile." hidden="1">{"Corporate Profile",#N/A,FALSE,"D"}</definedName>
    <definedName name="wrn.CorporateProfile." localSheetId="0" hidden="1">{"CorporateProfile",#N/A,FALSE,"corp profile"}</definedName>
    <definedName name="wrn.CorporateProfile." hidden="1">{"CorporateProfile",#N/A,FALSE,"corp profile"}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" localSheetId="0" hidden="1">{#N/A,#N/A,FALSE,"T COST";#N/A,#N/A,FALSE,"COST_FH"}</definedName>
    <definedName name="wrn.COST." hidden="1">{#N/A,#N/A,FALSE,"T COST";#N/A,#N/A,FALSE,"COST_FH"}</definedName>
    <definedName name="wrn.COSTANDINCOME." localSheetId="0" hidden="1">{#N/A,#N/A,FALSE,"COST";#N/A,#N/A,FALSE,"INCOME"}</definedName>
    <definedName name="wrn.COSTANDINCOME." hidden="1">{#N/A,#N/A,FALSE,"COST";#N/A,#N/A,FALSE,"INCOME"}</definedName>
    <definedName name="wrn.cotop." localSheetId="0" hidden="1">{"ReportTop",#N/A,FALSE,"report top"}</definedName>
    <definedName name="wrn.cotop." hidden="1">{"ReportTop",#N/A,FALSE,"report top"}</definedName>
    <definedName name="wrn.Country._.Details." localSheetId="0" hidden="1">{#N/A,#N/A,FALSE,"Forex";#N/A,#N/A,FALSE,"HDV";#N/A,#N/A,FALSE,"HDP";#N/A,#N/A,FALSE,"HDJ";#N/A,#N/A,FALSE,"HDIN";#N/A,#N/A,FALSE,"WFI";#N/A,#N/A,FALSE,"HDI";#N/A,#N/A,FALSE,"HDK";#N/A,#N/A,FALSE,"HDTW";#N/A,#N/A,FALSE,"HDCE";#N/A,#N/A,FALSE,"HDSZ";#N/A,#N/A,FALSE,"HDSH";#N/A,#N/A,FALSE,"HDC";#N/A,#N/A,FALSE,"WFM";#N/A,#N/A,FALSE,"HDM";#N/A,#N/A,FALSE,"TWF";#N/A,#N/A,FALSE,"HDT";#N/A,#N/A,FALSE,"WFS";#N/A,#N/A,FALSE,"HDS";#N/A,#N/A,FALSE,"Inter Co"}</definedName>
    <definedName name="wrn.Country._.Details." hidden="1">{#N/A,#N/A,FALSE,"Forex";#N/A,#N/A,FALSE,"HDV";#N/A,#N/A,FALSE,"HDP";#N/A,#N/A,FALSE,"HDJ";#N/A,#N/A,FALSE,"HDIN";#N/A,#N/A,FALSE,"WFI";#N/A,#N/A,FALSE,"HDI";#N/A,#N/A,FALSE,"HDK";#N/A,#N/A,FALSE,"HDTW";#N/A,#N/A,FALSE,"HDCE";#N/A,#N/A,FALSE,"HDSZ";#N/A,#N/A,FALSE,"HDSH";#N/A,#N/A,FALSE,"HDC";#N/A,#N/A,FALSE,"WFM";#N/A,#N/A,FALSE,"HDM";#N/A,#N/A,FALSE,"TWF";#N/A,#N/A,FALSE,"HDT";#N/A,#N/A,FALSE,"WFS";#N/A,#N/A,FALSE,"HDS";#N/A,#N/A,FALSE,"Inter Co"}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Page." localSheetId="0" hidden="1">{"CoverSheet",#N/A,FALSE,"Cover";"IndexSheet",#N/A,FALSE,"Index"}</definedName>
    <definedName name="wrn.CoverPage." hidden="1">{"CoverSheet",#N/A,FALSE,"Cover";"IndexSheet",#N/A,FALSE,"Index"}</definedName>
    <definedName name="wrn.CoverPage.dv" localSheetId="0" hidden="1">{"CoverSheet",#N/A,FALSE,"Cover";"IndexSheet",#N/A,FALSE,"Index"}</definedName>
    <definedName name="wrn.CoverPage.dv" hidden="1">{"CoverSheet",#N/A,FALSE,"Cover";"IndexSheet",#N/A,FALSE,"Index"}</definedName>
    <definedName name="wrn.crom._.4cast." localSheetId="0" hidden="1">{#N/A,#N/A,TRUE,"TOTAL Roll-up";#N/A,#N/A,TRUE,"Launch timing assumptions"}</definedName>
    <definedName name="wrn.crom._.4cast." hidden="1">{#N/A,#N/A,TRUE,"TOTAL Roll-up";#N/A,#N/A,TRUE,"Launch timing assumptions"}</definedName>
    <definedName name="wrn.croma._.forecast." localSheetId="0" hidden="1">{#N/A,#N/A,TRUE,"TOTAL Roll-up";#N/A,#N/A,TRUE,"Launch timing assumptions"}</definedName>
    <definedName name="wrn.croma._.forecast." hidden="1">{#N/A,#N/A,TRUE,"TOTAL Roll-up";#N/A,#N/A,TRUE,"Launch timing assumptions"}</definedName>
    <definedName name="wrn.CRT." localSheetId="0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ude." localSheetId="0" hidden="1">{"Padd1crd",#N/A,FALSE,"REFINERY";"padd2crd",#N/A,FALSE,"REFINERY";"padd3crd",#N/A,FALSE,"REFINERY";"padd4crd",#N/A,FALSE,"REFINERY";"padd5crd",#N/A,FALSE,"REFINERY"}</definedName>
    <definedName name="wrn.crude." hidden="1">{"Padd1crd",#N/A,FALSE,"REFINERY";"padd2crd",#N/A,FALSE,"REFINERY";"padd3crd",#N/A,FALSE,"REFINERY";"padd4crd",#N/A,FALSE,"REFINERY";"padd5crd",#N/A,FALSE,"REFINERY"}</definedName>
    <definedName name="wrn.csc." localSheetId="0" hidden="1">{"orixcsc",#N/A,FALSE,"ORIX CSC";"orixcsc2",#N/A,FALSE,"ORIX CSC"}</definedName>
    <definedName name="wrn.csc." hidden="1">{"orixcsc",#N/A,FALSE,"ORIX CSC";"orixcsc2",#N/A,FALSE,"ORIX CSC"}</definedName>
    <definedName name="wrn.csc.1" localSheetId="0" hidden="1">{"orixcsc",#N/A,FALSE,"ORIX CSC";"orixcsc2",#N/A,FALSE,"ORIX CSC"}</definedName>
    <definedName name="wrn.csc.1" hidden="1">{"orixcsc",#N/A,FALSE,"ORIX CSC";"orixcsc2",#N/A,FALSE,"ORIX CSC"}</definedName>
    <definedName name="wrn.csc.3" localSheetId="0" hidden="1">{#N/A,#N/A,FALSE,"ORIX CSC"}</definedName>
    <definedName name="wrn.csc.3" hidden="1">{#N/A,#N/A,FALSE,"ORIX CSC"}</definedName>
    <definedName name="wrn.CSC2" localSheetId="0" hidden="1">{"page1",#N/A,TRUE,"CSC";"page2",#N/A,TRUE,"CSC"}</definedName>
    <definedName name="wrn.CSC2" hidden="1">{"page1",#N/A,TRUE,"CSC";"page2",#N/A,TRUE,"CSC"}</definedName>
    <definedName name="wrn.csc2." localSheetId="0" hidden="1">{#N/A,#N/A,FALSE,"ORIX CSC"}</definedName>
    <definedName name="wrn.csc2." hidden="1">{#N/A,#N/A,FALSE,"ORIX CSC"}</definedName>
    <definedName name="wrn.CUPID." localSheetId="0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Current._.Summary._.Sheets.Phase3" localSheetId="0" hidden="1">{"Summary Sheet",#N/A,FALSE,"Summary vs Budget";"Summary Sheet",#N/A,FALSE,"Master vs Budget";"Summary Sheet",#N/A,FALSE,"Stage 1 vs Budget";"Summary Sheet",#N/A,FALSE,"Stage 2 vs Budget";"Summary Sheet",#N/A,FALSE,"Stage 3 vs Budget";"Summary Sheet",#N/A,FALSE,"SalesInfo vs Budget";"Summary Sheet",#N/A,FALSE,"Stock Route vs Budget";"Summary Sheet",#N/A,FALSE,"Stock Route Park vs Budget"}</definedName>
    <definedName name="wrn.Current._.Summary._.Sheets.Phase3" hidden="1">{"Summary Sheet",#N/A,FALSE,"Summary vs Budget";"Summary Sheet",#N/A,FALSE,"Master vs Budget";"Summary Sheet",#N/A,FALSE,"Stage 1 vs Budget";"Summary Sheet",#N/A,FALSE,"Stage 2 vs Budget";"Summary Sheet",#N/A,FALSE,"Stage 3 vs Budget";"Summary Sheet",#N/A,FALSE,"SalesInfo vs Budget";"Summary Sheet",#N/A,FALSE,"Stock Route vs Budget";"Summary Sheet",#N/A,FALSE,"Stock Route Park vs Budget"}</definedName>
    <definedName name="wrn.Current._.View." localSheetId="0" hidden="1">{#N/A,#N/A,FALSE,"ACCS-XXX.XLS";#N/A,#N/A,FALSE,"ACCS-ADJ.XLS";#N/A,#N/A,FALSE,"ACCS-COR.XLS";#N/A,#N/A,FALSE,"LEGL-ACX.XLS";#N/A,#N/A,FALSE,"JNTV-PHX.XLS"}</definedName>
    <definedName name="wrn.Current._.View." hidden="1">{#N/A,#N/A,FALSE,"ACCS-XXX.XLS";#N/A,#N/A,FALSE,"ACCS-ADJ.XLS";#N/A,#N/A,FALSE,"ACCS-COR.XLS";#N/A,#N/A,FALSE,"LEGL-ACX.XLS";#N/A,#N/A,FALSE,"JNTV-PHX.XLS"}</definedName>
    <definedName name="wrn.CUTS." localSheetId="0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W." localSheetId="0" hidden="1">{#N/A,#N/A,FALSE,"FAB VENDORS";"BUD SUM",#N/A,FALSE,"BUD SUM WO TEX"}</definedName>
    <definedName name="wrn.CW." hidden="1">{#N/A,#N/A,FALSE,"FAB VENDORS";"BUD SUM",#N/A,FALSE,"BUD SUM WO TEX"}</definedName>
    <definedName name="wrn.cy._.budget." localSheetId="0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cy._.budget.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DATA._.SHEETS." localSheetId="0" hidden="1">{"page1",#N/A,FALSE,"DATA SHEET";"page2",#N/A,FALSE,"DATA SHEET";"page3",#N/A,FALSE,"DATA SHEET"}</definedName>
    <definedName name="wrn.DATA._.SHEETS." hidden="1">{"page1",#N/A,FALSE,"DATA SHEET";"page2",#N/A,FALSE,"DATA SHEET";"page3",#N/A,FALSE,"DATA SHEET"}</definedName>
    <definedName name="wrn.Data._.Worksheet." localSheetId="0" hidden="1">{"Data Worksheet",#N/A,FALSE,"CAREY97"}</definedName>
    <definedName name="wrn.Data._.Worksheet." hidden="1">{"Data Worksheet",#N/A,FALSE,"CAREY97"}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atabase._.General._.Report." localSheetId="0" hidden="1">{#N/A,#N/A,FALSE,"Database"}</definedName>
    <definedName name="wrn.Database._.General._.Report." hidden="1">{#N/A,#N/A,FALSE,"Database"}</definedName>
    <definedName name="wrn.DataetUO." localSheetId="0" hidden="1">{#N/A,#N/A,FALSE,"PAGE31";#N/A,#N/A,FALSE,"Page32à34";#N/A,#N/A,FALSE,"PAGE35";#N/A,#N/A,FALSE,"POUCPG97"}</definedName>
    <definedName name="wrn.DataetUO." hidden="1">{#N/A,#N/A,FALSE,"PAGE31";#N/A,#N/A,FALSE,"Page32à34";#N/A,#N/A,FALSE,"PAGE35";#N/A,#N/A,FALSE,"POUCPG97"}</definedName>
    <definedName name="wrn.DCF." localSheetId="0" hidden="1">{"DCF1",#N/A,FALSE,"SIERRA DCF";"MATRIX1",#N/A,FALSE,"SIERRA DCF"}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II._.Report." localSheetId="0" hidden="1">{#N/A,#N/A,FALSE,"Cover";#N/A,#N/A,FALSE,"Pres ";#N/A,#N/A,FALSE,"Output";#N/A,#N/A,FALSE,"Sensit";#N/A,#N/A,FALSE,"Graphs";#N/A,#N/A,FALSE,"DCF";#N/A,#N/A,FALSE,"Control (In)";#N/A,#N/A,FALSE,"Broker (In)";#N/A,#N/A,FALSE,"In-House (In)";#N/A,#N/A,FALSE,"Assumptions";#N/A,#N/A,FALSE,"WACC";#N/A,#N/A,FALSE,"Check (In)"}</definedName>
    <definedName name="wrn.DCF._.II._.Report." hidden="1">{#N/A,#N/A,FALSE,"Cover";#N/A,#N/A,FALSE,"Pres ";#N/A,#N/A,FALSE,"Output";#N/A,#N/A,FALSE,"Sensit";#N/A,#N/A,FALSE,"Graphs";#N/A,#N/A,FALSE,"DCF";#N/A,#N/A,FALSE,"Control (In)";#N/A,#N/A,FALSE,"Broker (In)";#N/A,#N/A,FALSE,"In-House (In)";#N/A,#N/A,FALSE,"Assumptions";#N/A,#N/A,FALSE,"WACC";#N/A,#N/A,FALSE,"Check (In)"}</definedName>
    <definedName name="wrn.DCF._.III._.Report." localSheetId="0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Valuation." localSheetId="0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CF._from_DBAB_1" localSheetId="0" hidden="1">{"DCF1",#N/A,FALSE,"SIERRA DCF";"MATRIX1",#N/A,FALSE,"SIERRA DCF"}</definedName>
    <definedName name="wrn.DCF._from_DBAB_1" hidden="1">{"DCF1",#N/A,FALSE,"SIERRA DCF";"MATRIX1",#N/A,FALSE,"SIERRA DCF"}</definedName>
    <definedName name="wrn.DCF._from_DBAB_1_1" localSheetId="0" hidden="1">{"DCF1",#N/A,FALSE,"SIERRA DCF";"MATRIX1",#N/A,FALSE,"SIERRA DCF"}</definedName>
    <definedName name="wrn.DCF._from_DBAB_1_1" hidden="1">{"DCF1",#N/A,FALSE,"SIERRA DCF";"MATRIX1",#N/A,FALSE,"SIERRA DCF"}</definedName>
    <definedName name="wrn.DCF._from_DBAB_1_1_1" localSheetId="0" hidden="1">{"DCF1",#N/A,FALSE,"SIERRA DCF";"MATRIX1",#N/A,FALSE,"SIERRA DCF"}</definedName>
    <definedName name="wrn.DCF._from_DBAB_1_1_1" hidden="1">{"DCF1",#N/A,FALSE,"SIERRA DCF";"MATRIX1",#N/A,FALSE,"SIERRA DCF"}</definedName>
    <definedName name="wrn.DCF._from_DBAB_1_2" localSheetId="0" hidden="1">{"DCF1",#N/A,FALSE,"SIERRA DCF";"MATRIX1",#N/A,FALSE,"SIERRA DCF"}</definedName>
    <definedName name="wrn.DCF._from_DBAB_1_2" hidden="1">{"DCF1",#N/A,FALSE,"SIERRA DCF";"MATRIX1",#N/A,FALSE,"SIERRA DCF"}</definedName>
    <definedName name="wrn.DCF._from_DBAB_2" localSheetId="0" hidden="1">{"DCF1",#N/A,FALSE,"SIERRA DCF";"MATRIX1",#N/A,FALSE,"SIERRA DCF"}</definedName>
    <definedName name="wrn.DCF._from_DBAB_2" hidden="1">{"DCF1",#N/A,FALSE,"SIERRA DCF";"MATRIX1",#N/A,FALSE,"SIERRA DCF"}</definedName>
    <definedName name="wrn.DCF._from_DBAB_3" localSheetId="0" hidden="1">{"DCF1",#N/A,FALSE,"SIERRA DCF";"MATRIX1",#N/A,FALSE,"SIERRA DCF"}</definedName>
    <definedName name="wrn.DCF._from_DBAB_3" hidden="1">{"DCF1",#N/A,FALSE,"SIERRA DCF";"MATRIX1",#N/A,FALSE,"SIERRA DCF"}</definedName>
    <definedName name="wrn.DCF._from_DBAB_4" localSheetId="0" hidden="1">{"DCF1",#N/A,FALSE,"SIERRA DCF";"MATRIX1",#N/A,FALSE,"SIERRA DCF"}</definedName>
    <definedName name="wrn.DCF._from_DBAB_4" hidden="1">{"DCF1",#N/A,FALSE,"SIERRA DCF";"MATRIX1",#N/A,FALSE,"SIERRA DCF"}</definedName>
    <definedName name="wrn.DCF._from_DBAB_5" localSheetId="0" hidden="1">{"DCF1",#N/A,FALSE,"SIERRA DCF";"MATRIX1",#N/A,FALSE,"SIERRA DCF"}</definedName>
    <definedName name="wrn.DCF._from_DBAB_5" hidden="1">{"DCF1",#N/A,FALSE,"SIERRA DCF";"MATRIX1",#N/A,FALSE,"SIERRA DCF"}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_Terminal_Value_qchm._from_DBAB_1" localSheetId="0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localSheetId="0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localSheetId="0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2" localSheetId="0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2" localSheetId="0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3" localSheetId="0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4" localSheetId="0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5" localSheetId="0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1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1" hidden="1">{"mgmt forecast",#N/A,FALSE,"Mgmt Forecast";"dcf table",#N/A,FALSE,"Mgmt Forecast";"sensitivity",#N/A,FALSE,"Mgmt Forecast";"table inputs",#N/A,FALSE,"Mgmt Forecast";"calculations",#N/A,FALSE,"Mgmt Forecast"}</definedName>
    <definedName name="wrn.dcf2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ebt." localSheetId="0" hidden="1">{"debt",#N/A,FALSE,"PAI"}</definedName>
    <definedName name="wrn.Debt." hidden="1">{"debt summary",#N/A,FALSE,"Debt";"loan details",#N/A,FALSE,"Debt"}</definedName>
    <definedName name="wrn.debt2" localSheetId="0" hidden="1">{"debt",#N/A,FALSE,"PAI"}</definedName>
    <definedName name="wrn.debt2" hidden="1">{"debt",#N/A,FALSE,"PAI"}</definedName>
    <definedName name="wrn.debt3" localSheetId="0" hidden="1">{"debt",#N/A,FALSE,"PAI"}</definedName>
    <definedName name="wrn.debt3" hidden="1">{"debt",#N/A,FALSE,"PAI"}</definedName>
    <definedName name="wrn.debt4" localSheetId="0" hidden="1">{"debt",#N/A,FALSE,"PAI"}</definedName>
    <definedName name="wrn.debt4" hidden="1">{"debt",#N/A,FALSE,"PAI"}</definedName>
    <definedName name="wrn.dec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dec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dec.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dec.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dec._1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dec._1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localSheetId="0" hidden="1">{#N/A,#N/A,FALSE,"COVER";#N/A,#N/A,FALSE,"Index";#N/A,#N/A,FALSE,"Non-Earning";#N/A,#N/A,FALSE,"Commercial";#N/A,#N/A,FALSE,"Detailed"}</definedName>
    <definedName name="wrn.Delinc_Comercial." hidden="1">{#N/A,#N/A,FALSE,"COVER";#N/A,#N/A,FALSE,"Index";#N/A,#N/A,FALSE,"Non-Earning";#N/A,#N/A,FALSE,"Commercial";#N/A,#N/A,FALSE,"Detailed"}</definedName>
    <definedName name="wrn.DELTA." localSheetId="0" hidden="1">{"table II 1",#N/A,FALSE,"DTables";"table II 2",#N/A,FALSE,"DTables";"table III 3",#N/A,FALSE,"DTables";"table III 4",#N/A,FALSE,"DTables"}</definedName>
    <definedName name="wrn.DELTA." hidden="1">{"table II 1",#N/A,FALSE,"DTables";"table II 2",#N/A,FALSE,"DTables";"table III 3",#N/A,FALSE,"DTables";"table III 4",#N/A,FALSE,"DTables"}</definedName>
    <definedName name="wrn.demand." localSheetId="0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wrn.demand.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wrn.Demand._.MT." localSheetId="0" hidden="1">{"Demand by Product MT",#N/A,TRUE,"PRDEMPOR";"Demand by Sector MT",#N/A,TRUE,"PRDEMPOR"}</definedName>
    <definedName name="wrn.Demand._.MT." hidden="1">{"Demand by Product MT",#N/A,TRUE,"PRDEMPOR";"Demand by Sector MT",#N/A,TRUE,"PRDEMPOR"}</definedName>
    <definedName name="wrn.Demand._.MTOE." localSheetId="0" hidden="1">{"Demand by Product MTOE",#N/A,TRUE,"PRDEMPOR";"Demand by Sector MTOE",#N/A,TRUE,"PRDEMPOR"}</definedName>
    <definedName name="wrn.Demand._.MTOE." hidden="1">{"Demand by Product MTOE",#N/A,TRUE,"PRDEMPOR";"Demand by Sector MTOE",#N/A,TRUE,"PRDEMPOR"}</definedName>
    <definedName name="wrn.demographics." localSheetId="0" hidden="1">{#N/A,#N/A,FALSE,"pop.hh";#N/A,#N/A,FALSE,"age.dist";#N/A,#N/A,FALSE,"hh.income";#N/A,#N/A,FALSE,"hh.chars"}</definedName>
    <definedName name="wrn.demographics." hidden="1">{#N/A,#N/A,FALSE,"pop.hh";#N/A,#N/A,FALSE,"age.dist";#N/A,#N/A,FALSE,"hh.income";#N/A,#N/A,FALSE,"hh.chars"}</definedName>
    <definedName name="wrn.Demos." localSheetId="0" hidden="1">{#N/A,#N/A,FALSE,"II-2 POP.HH";#N/A,#N/A,FALSE,"II-3 AGE.DIST";#N/A,#N/A,FALSE,"II-4 HH.DIST";#N/A,#N/A,FALSE,"II-5 EMP.INDUS"}</definedName>
    <definedName name="wrn.Demos." hidden="1">{#N/A,#N/A,FALSE,"II-2 POP.HH";#N/A,#N/A,FALSE,"II-3 AGE.DIST";#N/A,#N/A,FALSE,"II-4 HH.DIST";#N/A,#N/A,FALSE,"II-5 EMP.INDUS"}</definedName>
    <definedName name="wrn.Dep." localSheetId="0" hidden="1">{#N/A,#N/A,FALSE,"asset"}</definedName>
    <definedName name="wrn.Dep." hidden="1">{#N/A,#N/A,FALSE,"asset"}</definedName>
    <definedName name="wrn.DEPARTMENTS." localSheetId="0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localSheetId="0" hidden="1">{"depmatrix",#N/A,FALSE,"DECATUR-DIMMIT"}</definedName>
    <definedName name="wrn.depmatrix." hidden="1">{"depmatrix",#N/A,FALSE,"DECATUR-DIMMIT"}</definedName>
    <definedName name="wrn.Depreciation." localSheetId="0" hidden="1">{#N/A,#N/A,FALSE,"Assets 31Mar01"}</definedName>
    <definedName name="wrn.Depreciation." hidden="1">{#N/A,#N/A,FALSE,"Assets 31Mar01"}</definedName>
    <definedName name="wrn.Derek." localSheetId="0" hidden="1">{#N/A,#N/A,FALSE,"Transaction_Sum_debt_Stats";#N/A,#N/A,FALSE,"Earnings Impact";#N/A,#N/A,FALSE,"Sensitivity Table"}</definedName>
    <definedName name="wrn.Derek." hidden="1">{#N/A,#N/A,FALSE,"Transaction_Sum_debt_Stats";#N/A,#N/A,FALSE,"Earnings Impact";#N/A,#N/A,FALSE,"Sensitivity Table"}</definedName>
    <definedName name="wrn.detail." localSheetId="0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Report." localSheetId="0" hidden="1">{#N/A,#N/A,FALSE,"IOS#919";#N/A,#N/A,FALSE,"IOS#920";#N/A,#N/A,FALSE,"Corp#919";#N/A,#N/A,FALSE,"Corp#920 "}</definedName>
    <definedName name="wrn.Detail._.Report." hidden="1">{#N/A,#N/A,FALSE,"IOS#919";#N/A,#N/A,FALSE,"IOS#920";#N/A,#N/A,FALSE,"Corp#919";#N/A,#N/A,FALSE,"Corp#920 "}</definedName>
    <definedName name="wrn.Detailed._.P._.and._.L." localSheetId="0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etailThru2007." localSheetId="0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07.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15." localSheetId="0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DetailThru2015.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devdeal." localSheetId="0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_.Budget." localSheetId="0" hidden="1">{"Year 1",#N/A,FALSE,"Budget";"Year 2",#N/A,FALSE,"Budget";"Year 3",#N/A,FALSE,"Budget";"Year 4",#N/A,FALSE,"Budget"}</definedName>
    <definedName name="wrn.Development._.Budget." hidden="1">{"Year 1",#N/A,FALSE,"Budget";"Year 2",#N/A,FALSE,"Budget";"Year 3",#N/A,FALSE,"Budget";"Year 4",#N/A,FALSE,"Budget"}</definedName>
    <definedName name="wrn.dil_anal." localSheetId="0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strib." localSheetId="0" hidden="1">{#N/A,#N/A,FALSE,"DomAnlys";#N/A,#N/A,FALSE,"DomDist";#N/A,#N/A,FALSE,"EmpAnys";#N/A,#N/A,FALSE,"EmpDist";#N/A,#N/A,FALSE,"EntrepDist"}</definedName>
    <definedName name="wrn.Distrib." hidden="1">{#N/A,#N/A,FALSE,"DomAnlys";#N/A,#N/A,FALSE,"DomDist";#N/A,#N/A,FALSE,"EmpAnys";#N/A,#N/A,FALSE,"EmpDist";#N/A,#N/A,FALSE,"EntrepDist"}</definedName>
    <definedName name="wrn.Distrib._1" localSheetId="0" hidden="1">{#N/A,#N/A,FALSE,"DomAnlys";#N/A,#N/A,FALSE,"DomDist";#N/A,#N/A,FALSE,"EmpAnys";#N/A,#N/A,FALSE,"EmpDist";#N/A,#N/A,FALSE,"EntrepDist"}</definedName>
    <definedName name="wrn.Distrib._1" hidden="1">{#N/A,#N/A,FALSE,"DomAnlys";#N/A,#N/A,FALSE,"DomDist";#N/A,#N/A,FALSE,"EmpAnys";#N/A,#N/A,FALSE,"EmpDist";#N/A,#N/A,FALSE,"EntrepDist"}</definedName>
    <definedName name="wrn.Divisional._.IS." localSheetId="0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ocument." localSheetId="0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0" hidden="1">{"comps2",#N/A,FALSE,"AERO";"footnotes",#N/A,FALSE,"AERO"}</definedName>
    <definedName name="wrn.documentaero." hidden="1">{"comps2",#N/A,FALSE,"AERO";"footnotes",#N/A,FALSE,"AERO"}</definedName>
    <definedName name="wrn.documentation." localSheetId="0" hidden="1">{"document1",#N/A,FALSE,"Documentation";"document2",#N/A,FALSE,"Documentation"}</definedName>
    <definedName name="wrn.documentation." hidden="1">{"documentation1",#N/A,FALSE,"Documentation";"documentation2",#N/A,FALSE,"Documentation"}</definedName>
    <definedName name="wrn.documenthand." localSheetId="0" hidden="1">{"comps",#N/A,FALSE,"HANDPACK";"footnotes",#N/A,FALSE,"HANDPACK"}</definedName>
    <definedName name="wrn.documenthand." hidden="1">{"comps",#N/A,FALSE,"HANDPACK";"footnotes",#N/A,FALSE,"HANDPACK"}</definedName>
    <definedName name="wrn.DOLARES." localSheetId="0" hidden="1">{"P&amp;L US$",#N/A,FALSE,"PL REPROG";"MONTH U$",#N/A,FALSE,"MONTH";"YTD U$",#N/A,FALSE,"YTD";"FULL YEAR U$",#N/A,FALSE,"FULL YEAR";"FORECAST U$",#N/A,FALSE,"FULL YEAR";"REMAINING MONTHS U$",#N/A,FALSE,"2DO SEMESTRE";"OPERATING INCOME ANALISYS DOLARES",#N/A,FALSE,"OPER INC VAR ANALISYS";"NET INCOME ANALISYS DOLARES",#N/A,FALSE,"OPER INC VAR ANALISYS";"FCF YTD U$",#N/A,FALSE,"FREE CASH FLOW";"FCF FULL YEAR U$",#N/A,FALSE,"FREE CASH FLOW";"NET FCF U$",#N/A,FALSE,"FREE CASH FLOW (2)"}</definedName>
    <definedName name="wrn.DOLARES." hidden="1">{"P&amp;L US$",#N/A,FALSE,"PL REPROG";"MONTH U$",#N/A,FALSE,"MONTH";"YTD U$",#N/A,FALSE,"YTD";"FULL YEAR U$",#N/A,FALSE,"FULL YEAR";"FORECAST U$",#N/A,FALSE,"FULL YEAR";"REMAINING MONTHS U$",#N/A,FALSE,"2DO SEMESTRE";"OPERATING INCOME ANALISYS DOLARES",#N/A,FALSE,"OPER INC VAR ANALISYS";"NET INCOME ANALISYS DOLARES",#N/A,FALSE,"OPER INC VAR ANALISYS";"FCF YTD U$",#N/A,FALSE,"FREE CASH FLOW";"FCF FULL YEAR U$",#N/A,FALSE,"FREE CASH FLOW";"NET FCF U$",#N/A,FALSE,"FREE CASH FLOW (2)"}</definedName>
    <definedName name="wrn.DOM3." localSheetId="0" hidden="1">{#N/A,#N/A,FALSE,"BalSheet";#N/A,#N/A,FALSE,"IncStmt";#N/A,#N/A,FALSE,"StmtPCA";#N/A,#N/A,FALSE,"CashFlow";#N/A,#N/A,FALSE,"PCA";#N/A,#N/A,FALSE,"Income";#N/A,#N/A,FALSE,"JE";#N/A,#N/A,FALSE,"BK Rec";#N/A,#N/A,FALSE,"NV Interest";#N/A,#N/A,FALSE,"Mgt Fee";#N/A,#N/A,FALSE,"Cashflow Support";#N/A,#N/A,FALSE,"Accounts Payable";#N/A,#N/A,FALSE,"Mgt Fee Adj";#N/A,#N/A,FALSE,"Venture Interest";#N/A,#N/A,FALSE,"Distribution Support";#N/A,#N/A,FALSE,"Cashflow Support";#N/A,#N/A,FALSE,"Employee syndication";#N/A,#N/A,FALSE,"Other Expense "}</definedName>
    <definedName name="wrn.DOM3." hidden="1">{#N/A,#N/A,FALSE,"BalSheet";#N/A,#N/A,FALSE,"IncStmt";#N/A,#N/A,FALSE,"StmtPCA";#N/A,#N/A,FALSE,"CashFlow";#N/A,#N/A,FALSE,"PCA";#N/A,#N/A,FALSE,"Income";#N/A,#N/A,FALSE,"JE";#N/A,#N/A,FALSE,"BK Rec";#N/A,#N/A,FALSE,"NV Interest";#N/A,#N/A,FALSE,"Mgt Fee";#N/A,#N/A,FALSE,"Cashflow Support";#N/A,#N/A,FALSE,"Accounts Payable";#N/A,#N/A,FALSE,"Mgt Fee Adj";#N/A,#N/A,FALSE,"Venture Interest";#N/A,#N/A,FALSE,"Distribution Support";#N/A,#N/A,FALSE,"Cashflow Support";#N/A,#N/A,FALSE,"Employee syndication";#N/A,#N/A,FALSE,"Other Expense "}</definedName>
    <definedName name="wrn.DOM3._1" localSheetId="0" hidden="1">{#N/A,#N/A,FALSE,"BalSheet";#N/A,#N/A,FALSE,"IncStmt";#N/A,#N/A,FALSE,"StmtPCA";#N/A,#N/A,FALSE,"CashFlow";#N/A,#N/A,FALSE,"PCA";#N/A,#N/A,FALSE,"Income";#N/A,#N/A,FALSE,"JE";#N/A,#N/A,FALSE,"BK Rec";#N/A,#N/A,FALSE,"NV Interest";#N/A,#N/A,FALSE,"Mgt Fee";#N/A,#N/A,FALSE,"Cashflow Support";#N/A,#N/A,FALSE,"Accounts Payable";#N/A,#N/A,FALSE,"Mgt Fee Adj";#N/A,#N/A,FALSE,"Venture Interest";#N/A,#N/A,FALSE,"Distribution Support";#N/A,#N/A,FALSE,"Cashflow Support";#N/A,#N/A,FALSE,"Employee syndication";#N/A,#N/A,FALSE,"Other Expense "}</definedName>
    <definedName name="wrn.DOM3._1" hidden="1">{#N/A,#N/A,FALSE,"BalSheet";#N/A,#N/A,FALSE,"IncStmt";#N/A,#N/A,FALSE,"StmtPCA";#N/A,#N/A,FALSE,"CashFlow";#N/A,#N/A,FALSE,"PCA";#N/A,#N/A,FALSE,"Income";#N/A,#N/A,FALSE,"JE";#N/A,#N/A,FALSE,"BK Rec";#N/A,#N/A,FALSE,"NV Interest";#N/A,#N/A,FALSE,"Mgt Fee";#N/A,#N/A,FALSE,"Cashflow Support";#N/A,#N/A,FALSE,"Accounts Payable";#N/A,#N/A,FALSE,"Mgt Fee Adj";#N/A,#N/A,FALSE,"Venture Interest";#N/A,#N/A,FALSE,"Distribution Support";#N/A,#N/A,FALSE,"Cashflow Support";#N/A,#N/A,FALSE,"Employee syndication";#N/A,#N/A,FALSE,"Other Expense "}</definedName>
    <definedName name="wrn.Domestic._.FS." localSheetId="0" hidden="1">{#N/A,#N/A,FALSE,"Fin'l Stmts.";#N/A,#N/A,FALSE,"PCA";#N/A,#N/A,FALSE,"Inc. Alloc.";#N/A,#N/A,FALSE,"Mgmt. Fee";#N/A,#N/A,FALSE,"NV Interest";#N/A,#N/A,FALSE,"Expenses";#N/A,#N/A,FALSE,"Acct. Pay.";#N/A,#N/A,FALSE,"Org. Exp."}</definedName>
    <definedName name="wrn.Domestic._.FS." hidden="1">{#N/A,#N/A,FALSE,"Fin'l Stmts.";#N/A,#N/A,FALSE,"PCA";#N/A,#N/A,FALSE,"Inc. Alloc.";#N/A,#N/A,FALSE,"Mgmt. Fee";#N/A,#N/A,FALSE,"NV Interest";#N/A,#N/A,FALSE,"Expenses";#N/A,#N/A,FALSE,"Acct. Pay.";#N/A,#N/A,FALSE,"Org. Exp."}</definedName>
    <definedName name="wrn.Domestic._.Monthly." localSheetId="0" hidden="1">{"incstmtdm",#N/A,TRUE,"Inc Stmt (D)";"balshtdm",#N/A,TRUE,"Bal Sheet (D)";"scfdm",#N/A,TRUE,"Cash Flow (D)";"incmcfdm",#N/A,TRUE,"Inc mcf (D)";"capsummdm",#N/A,TRUE,"Cap Summ (D)";"assumdm",#N/A,TRUE,"Assum (D)"}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localSheetId="0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mIIfinlStmts." localSheetId="0" hidden="1">{"incStmt",#N/A,TRUE,"Fin'l Stmts.";"cashflw",#N/A,TRUE,"Fin'l Stmts.";"ChangeinPtnrCap",#N/A,TRUE,"Fin'l Stmts.";#N/A,#N/A,TRUE,"PCA";#N/A,#N/A,TRUE,"Inc. Alloc.";"Balance",#N/A,TRUE,"Fin'l Stmts."}</definedName>
    <definedName name="wrn.DomIIfinlStmts." hidden="1">{"incStmt",#N/A,TRUE,"Fin'l Stmts.";"cashflw",#N/A,TRUE,"Fin'l Stmts.";"ChangeinPtnrCap",#N/A,TRUE,"Fin'l Stmts.";#N/A,#N/A,TRUE,"PCA";#N/A,#N/A,TRUE,"Inc. Alloc.";"Balance",#N/A,TRUE,"Fin'l Stmts."}</definedName>
    <definedName name="wrn.Draft." localSheetId="0" hidden="1">{"Draft",#N/A,FALSE,"Feb-96"}</definedName>
    <definedName name="wrn.Draft." hidden="1">{"Draft",#N/A,FALSE,"Feb-96"}</definedName>
    <definedName name="wrn.EAC._.Reports." localSheetId="0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conomic._.Value._.Added._.Analysis._from_DBAB_1" localSheetId="0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localSheetId="0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localSheetId="0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2" localSheetId="0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2" localSheetId="0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3" localSheetId="0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4" localSheetId="0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5" localSheetId="0" hidden="1">{"EVA",#N/A,FALSE,"EVA";"WACC",#N/A,FALSE,"WACC"}</definedName>
    <definedName name="wrn.Economic._.Value._.Added._.Analysis._from_DBAB_5" hidden="1">{"EVA",#N/A,FALSE,"EVA";"WACC",#N/A,FALSE,"WACC"}</definedName>
    <definedName name="wrn.Edison." localSheetId="0" hidden="1">{#N/A,#N/A,FALSE,"Sheet1";#N/A,#N/A,FALSE,"totalp&amp;L";#N/A,#N/A,FALSE,"totalassump";#N/A,#N/A,FALSE,"basep&amp;L";#N/A,#N/A,FALSE,"baseassump";#N/A,#N/A,FALSE,"sum slide"}</definedName>
    <definedName name="wrn.Edison." hidden="1">{#N/A,#N/A,FALSE,"Sheet1";#N/A,#N/A,FALSE,"totalp&amp;L";#N/A,#N/A,FALSE,"totalassump";#N/A,#N/A,FALSE,"basep&amp;L";#N/A,#N/A,FALSE,"baseassump";#N/A,#N/A,FALSE,"sum slide"}</definedName>
    <definedName name="wrn.EMP3." localSheetId="0" hidden="1">{#N/A,#N/A,FALSE,"BalSheet";#N/A,#N/A,FALSE,"IncStmt";#N/A,#N/A,FALSE,"StmtPCA";#N/A,#N/A,FALSE,"CashFlow";#N/A,#N/A,FALSE,"JE";#N/A,#N/A,FALSE,"OtherExpRec";#N/A,#N/A,FALSE,"Mgt Fee";#N/A,#N/A,FALSE,"Accounts Payable";#N/A,#N/A,FALSE,"NV Interest";#N/A,#N/A,FALSE,"CashFlowsupp";#N/A,#N/A,FALSE,"Venture Interest";#N/A,#N/A,FALSE,"CashRec"}</definedName>
    <definedName name="wrn.EMP3." hidden="1">{#N/A,#N/A,FALSE,"BalSheet";#N/A,#N/A,FALSE,"IncStmt";#N/A,#N/A,FALSE,"StmtPCA";#N/A,#N/A,FALSE,"CashFlow";#N/A,#N/A,FALSE,"JE";#N/A,#N/A,FALSE,"OtherExpRec";#N/A,#N/A,FALSE,"Mgt Fee";#N/A,#N/A,FALSE,"Accounts Payable";#N/A,#N/A,FALSE,"NV Interest";#N/A,#N/A,FALSE,"CashFlowsupp";#N/A,#N/A,FALSE,"Venture Interest";#N/A,#N/A,FALSE,"CashRec"}</definedName>
    <definedName name="wrn.Employee._.Efficiency." localSheetId="0" hidden="1">{"Employee Efficiency",#N/A,FALSE,"Benchmarking"}</definedName>
    <definedName name="wrn.Employee._.Efficiency." hidden="1">{"Employee Efficiency",#N/A,FALSE,"Benchmarking"}</definedName>
    <definedName name="wrn.Engr._.Summary." localSheetId="0" hidden="1">{#N/A,#N/A,FALSE,"INPUTDATA";#N/A,#N/A,FALSE,"SUMMARY";#N/A,#N/A,FALSE,"CTAREP";#N/A,#N/A,FALSE,"CTBREP";#N/A,#N/A,FALSE,"TURBEFF";#N/A,#N/A,FALSE,"Condenser Performance"}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" localSheetId="0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Package." localSheetId="0" hidden="1">{"Summary",#N/A,FALSE,"Assumptions";"Development 1 2",#N/A,FALSE,"Budget";"Operating Income",#N/A,FALSE,"Budget"}</definedName>
    <definedName name="wrn.Entire._.Package." hidden="1">{"Summary",#N/A,FALSE,"Assumptions";"Development 1 2",#N/A,FALSE,"Budget";"Operating Income",#N/A,FALSE,"Budget"}</definedName>
    <definedName name="wrn.Entrepreneur." localSheetId="0" hidden="1">{#N/A,#N/A,FALSE,"BalSheet";#N/A,#N/A,FALSE,"IncStmt";#N/A,#N/A,FALSE,"StmtPCA";#N/A,#N/A,FALSE,"CashFlow";#N/A,#N/A,FALSE,"JE";#N/A,#N/A,FALSE,"OtherExpRec";#N/A,#N/A,FALSE,"CashRec";#N/A,#N/A,FALSE,"Mgt Fee";#N/A,#N/A,FALSE,"NV Interest";#N/A,#N/A,FALSE,"Cashflow_SUPPORT";#N/A,#N/A,FALSE,"Accounts Payable";#N/A,#N/A,FALSE,"Venture Interest"}</definedName>
    <definedName name="wrn.Entrepreneur." hidden="1">{#N/A,#N/A,FALSE,"BalSheet";#N/A,#N/A,FALSE,"IncStmt";#N/A,#N/A,FALSE,"StmtPCA";#N/A,#N/A,FALSE,"CashFlow";#N/A,#N/A,FALSE,"JE";#N/A,#N/A,FALSE,"OtherExpRec";#N/A,#N/A,FALSE,"CashRec";#N/A,#N/A,FALSE,"Mgt Fee";#N/A,#N/A,FALSE,"NV Interest";#N/A,#N/A,FALSE,"Cashflow_SUPPORT";#N/A,#N/A,FALSE,"Accounts Payable";#N/A,#N/A,FALSE,"Venture Interest"}</definedName>
    <definedName name="wrn.EPS._.print." localSheetId="0" hidden="1">{"EPS1",#N/A,FALSE,"merger"}</definedName>
    <definedName name="wrn.EPS._.print." hidden="1">{"EPS1",#N/A,FALSE,"merger"}</definedName>
    <definedName name="wrn.equity._.comps." localSheetId="0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quityATable." localSheetId="0" hidden="1">{"EquityProfileSheet",#N/A,FALSE,"Table_Equity"}</definedName>
    <definedName name="wrn.EquityATable." hidden="1">{"EquityProfileSheet",#N/A,FALSE,"Table_Equity"}</definedName>
    <definedName name="wrn.EquityATable.dv" localSheetId="0" hidden="1">{"EquityProfileSheet",#N/A,FALSE,"Table_Equity"}</definedName>
    <definedName name="wrn.EquityATable.dv" hidden="1">{"EquityProfileSheet",#N/A,FALSE,"Table_Equity"}</definedName>
    <definedName name="wrn.Ergebnis." localSheetId="0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._ns" localSheetId="0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._ns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NST." localSheetId="0" hidden="1">{#N/A,#N/A,FALSE,"YTCHAN";#N/A,#N/A,FALSE,"TOMMY";#N/A,#N/A,FALSE,"REP.OFFICE";#N/A,#N/A,FALSE,"E&amp;Y_CONSULTANT";#N/A,#N/A,FALSE,"BT &amp; CIT"}</definedName>
    <definedName name="wrn.ERNST." hidden="1">{#N/A,#N/A,FALSE,"YTCHAN";#N/A,#N/A,FALSE,"TOMMY";#N/A,#N/A,FALSE,"REP.OFFICE";#N/A,#N/A,FALSE,"E&amp;Y_CONSULTANT";#N/A,#N/A,FALSE,"BT &amp; CIT"}</definedName>
    <definedName name="wrn.ESTADOS._.FINANCIEROS." localSheetId="0" hidden="1">{#N/A,#N/A,FALSE,"CARATULA CONSEJO CONSOL";#N/A,#N/A,FALSE,"BALANCE";#N/A,#N/A,FALSE,"RESULTADOS";#N/A,#N/A,FALSE,"CAJA";#N/A,#N/A,FALSE,"CxC";#N/A,#N/A,FALSE,"OTRAS CxC";#N/A,#N/A,FALSE,"IMPS. POR RECUP";#N/A,#N/A,FALSE,"ACTIVO FIJO";#N/A,#N/A,FALSE,"DEPREC";#N/A,#N/A,FALSE,"INVACCIONES";#N/A,#N/A,FALSE,"INVCONCESION";#N/A,#N/A,FALSE,"PREOP";#N/A,#N/A,FALSE,"AMOR PREOP";#N/A,#N/A,FALSE,"DEPGTIA";#N/A,#N/A,FALSE,"cargos diferidos";#N/A,#N/A,FALSE,"PRESTAMOS";#N/A,#N/A,FALSE,"ARRENFIN";#N/A,#N/A,FALSE,"CxP";#N/A,#N/A,FALSE,"IMPTOSxPAG";#N/A,#N/A,FALSE,"PAGOS PROV";#N/A,#N/A,FALSE,"INGRESOS";#N/A,#N/A,FALSE,"COSTO DE OPERACION";#N/A,#N/A,FALSE,"GTOS ADMON";#N/A,#N/A,FALSE,"COSTO FINAN-GTOS EXTRAO";#N/A,#N/A,FALSE,"FLUJOMES";#N/A,#N/A,FALSE,"FLUJOACUM";#N/A,#N/A,FALSE,"FLUJOACUM1";#N/A,#N/A,FALSE,"FLUJOMES1"}</definedName>
    <definedName name="wrn.ESTADOS._.FINANCIEROS." hidden="1">{#N/A,#N/A,FALSE,"CARATULA CONSEJO CONSOL";#N/A,#N/A,FALSE,"BALANCE";#N/A,#N/A,FALSE,"RESULTADOS";#N/A,#N/A,FALSE,"CAJA";#N/A,#N/A,FALSE,"CxC";#N/A,#N/A,FALSE,"OTRAS CxC";#N/A,#N/A,FALSE,"IMPS. POR RECUP";#N/A,#N/A,FALSE,"ACTIVO FIJO";#N/A,#N/A,FALSE,"DEPREC";#N/A,#N/A,FALSE,"INVACCIONES";#N/A,#N/A,FALSE,"INVCONCESION";#N/A,#N/A,FALSE,"PREOP";#N/A,#N/A,FALSE,"AMOR PREOP";#N/A,#N/A,FALSE,"DEPGTIA";#N/A,#N/A,FALSE,"cargos diferidos";#N/A,#N/A,FALSE,"PRESTAMOS";#N/A,#N/A,FALSE,"ARRENFIN";#N/A,#N/A,FALSE,"CxP";#N/A,#N/A,FALSE,"IMPTOSxPAG";#N/A,#N/A,FALSE,"PAGOS PROV";#N/A,#N/A,FALSE,"INGRESOS";#N/A,#N/A,FALSE,"COSTO DE OPERACION";#N/A,#N/A,FALSE,"GTOS ADMON";#N/A,#N/A,FALSE,"COSTO FINAN-GTOS EXTRAO";#N/A,#N/A,FALSE,"FLUJOMES";#N/A,#N/A,FALSE,"FLUJOACUM";#N/A,#N/A,FALSE,"FLUJOACUM1";#N/A,#N/A,FALSE,"FLUJOMES1"}</definedName>
    <definedName name="wrn.Europe._.Base." localSheetId="0" hidden="1">{"Eur Base Top",#N/A,FALSE,"Europe Base";"Eur Base Bottom",#N/A,FALSE,"Europe Base"}</definedName>
    <definedName name="wrn.Europe._.Base." hidden="1">{"Eur Base Top",#N/A,FALSE,"Europe Base";"Eur Base Bottom",#N/A,FALSE,"Europe Base"}</definedName>
    <definedName name="wrn.Europe._.Set." localSheetId="0" hidden="1">{"IS w Ratios",#N/A,FALSE,"Europe";"PF CF Europe",#N/A,FALSE,"Europe";"DCF Eur Matrix",#N/A,FALSE,"Europe"}</definedName>
    <definedName name="wrn.Europe._.Set." hidden="1">{"IS w Ratios",#N/A,FALSE,"Europe";"PF CF Europe",#N/A,FALSE,"Europe";"DCF Eur Matrix",#N/A,FALSE,"Europe"}</definedName>
    <definedName name="wrn.Everything.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woprjwoe" localSheetId="0" hidden="1">{#N/A,#N/A,FALSE,"Database"}</definedName>
    <definedName name="wrn.ewoprjwoe" hidden="1">{#N/A,#N/A,FALSE,"Database"}</definedName>
    <definedName name="wrn.EX_Cover." localSheetId="0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am._.Workpapers._.1.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cluding._.valuation." localSheetId="0" hidden="1">{#N/A,#N/A,FALSE,"Cover";#N/A,#N/A,FALSE,"Pres";#N/A,#N/A,FALSE,"Outputs 1";#N/A,#N/A,FALSE,"Prec (in)";#N/A,#N/A,FALSE,"Calc";#N/A,#N/A,FALSE,"Check"}</definedName>
    <definedName name="wrn.Excluding._.valuation." hidden="1">{#N/A,#N/A,FALSE,"Cover";#N/A,#N/A,FALSE,"Pres";#N/A,#N/A,FALSE,"Outputs 1";#N/A,#N/A,FALSE,"Prec (in)";#N/A,#N/A,FALSE,"Calc";#N/A,#N/A,FALSE,"Check"}</definedName>
    <definedName name="wrn.Exec._.Summary." localSheetId="0" hidden="1">{#N/A,#N/A,FALSE,"INPUTDATA";#N/A,#N/A,FALSE,"SUMMARY"}</definedName>
    <definedName name="wrn.Exec._.Summary." hidden="1">{#N/A,#N/A,FALSE,"INPUTDATA";#N/A,#N/A,FALSE,"SUMMARY"}</definedName>
    <definedName name="wrn.Exhibits." localSheetId="0" hidden="1">{#N/A,#N/A,FALSE,"Historical";#N/A,#N/A,FALSE,"Adjusted";#N/A,#N/A,FALSE,"CAM Alloc.";#N/A,#N/A,FALSE,"Projected CAM"}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itAndSalesAssumptions." localSheetId="0" hidden="1">{#N/A,#N/A,FALSE,"ExitStratigy"}</definedName>
    <definedName name="wrn.ExitAndSalesAssumptions." hidden="1">{#N/A,#N/A,FALSE,"ExitStratigy"}</definedName>
    <definedName name="wrn.EXP2." localSheetId="0" hidden="1">{#N/A,#N/A,TRUE,"NIE_C";#N/A,#N/A,TRUE,"NIE";#N/A,#N/A,TRUE,"NIE_D";#N/A,#N/A,TRUE,"NIE_D_CC";#N/A,#N/A,TRUE,"HEA -- EXP"}</definedName>
    <definedName name="wrn.EXP2." hidden="1">{#N/A,#N/A,TRUE,"NIE_C";#N/A,#N/A,TRUE,"NIE";#N/A,#N/A,TRUE,"NIE_D";#N/A,#N/A,TRUE,"NIE_D_CC";#N/A,#N/A,TRUE,"HEA -- EXP"}</definedName>
    <definedName name="wrn.Exports." localSheetId="0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" localSheetId="0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.S.." localSheetId="0" hidden="1">{#N/A,#N/A,TRUE,"COVER";#N/A,#N/A,TRUE,"DIR";#N/A,#N/A,TRUE,"AUDIT"}</definedName>
    <definedName name="wrn.F.S.." hidden="1">{#N/A,#N/A,TRUE,"COVER";#N/A,#N/A,TRUE,"DIR";#N/A,#N/A,TRUE,"AUDIT"}</definedName>
    <definedName name="wrn.f.s.2" localSheetId="0" hidden="1">{#N/A,#N/A,TRUE,"COVER";#N/A,#N/A,TRUE,"DIR";#N/A,#N/A,TRUE,"AUDIT"}</definedName>
    <definedName name="wrn.f.s.2" hidden="1">{#N/A,#N/A,TRUE,"COVER";#N/A,#N/A,TRUE,"DIR";#N/A,#N/A,TRUE,"AUDIT"}</definedName>
    <definedName name="wrn.FA." localSheetId="0" hidden="1">{#N/A,#N/A,FALSE,"a-f&amp;e";#N/A,#N/A,FALSE,"a-land";#N/A,#N/A,FALSE,"pl-deprec";#N/A,#N/A,FALSE,"pl-fa-disposals"}</definedName>
    <definedName name="wrn.FA." hidden="1">{#N/A,#N/A,FALSE,"a-f&amp;e";#N/A,#N/A,FALSE,"a-land";#N/A,#N/A,FALSE,"pl-deprec";#N/A,#N/A,FALSE,"pl-fa-disposals"}</definedName>
    <definedName name="wrn.fabrication." localSheetId="0" hidden="1">{#N/A,#N/A,FALSE,"PAGE14";#N/A,#N/A,FALSE,"Page15";#N/A,#N/A,FALSE,"Page16";#N/A,#N/A,FALSE,"Page17";#N/A,#N/A,FALSE,"Page18";#N/A,#N/A,FALSE,"Page19";#N/A,#N/A,FALSE,"Page20"}</definedName>
    <definedName name="wrn.fabrication." hidden="1">{#N/A,#N/A,FALSE,"PAGE14";#N/A,#N/A,FALSE,"Page15";#N/A,#N/A,FALSE,"Page16";#N/A,#N/A,FALSE,"Page17";#N/A,#N/A,FALSE,"Page18";#N/A,#N/A,FALSE,"Page19";#N/A,#N/A,FALSE,"Page20"}</definedName>
    <definedName name="wrn.Falcons._.Divisions." localSheetId="0" hidden="1">{#N/A,#N/A,TRUE,"Fiber_Optic_Cable_Input ";#N/A,#N/A,TRUE,"Specialty_Fiber_Devices_Input";#N/A,#N/A,TRUE,"Optical_Fiber_Apparatus_Input"}</definedName>
    <definedName name="wrn.Falcons._.Divisions." hidden="1">{#N/A,#N/A,TRUE,"Fiber_Optic_Cable_Input ";#N/A,#N/A,TRUE,"Specialty_Fiber_Devices_Input";#N/A,#N/A,TRUE,"Optical_Fiber_Apparatus_Input"}</definedName>
    <definedName name="wrn.Falcons._.Standalone." localSheetId="0" hidden="1">{#N/A,#N/A,TRUE,"Falcons_Standalone";#N/A,#N/A,TRUE,"Target_Input";#N/A,#N/A,TRUE,"Target_Calendarized"}</definedName>
    <definedName name="wrn.Falcons._.Standalone." hidden="1">{#N/A,#N/A,TRUE,"Falcons_Standalone";#N/A,#N/A,TRUE,"Target_Input";#N/A,#N/A,TRUE,"Target_Calendarized"}</definedName>
    <definedName name="wrn.Far._.East._.Set." localSheetId="0" hidden="1">{"IS FE with Ratios",#N/A,FALSE,"Far East";"PF CF Far East",#N/A,FALSE,"Far East";"DCF Far East Matrix",#N/A,FALSE,"Far East"}</definedName>
    <definedName name="wrn.Far._.East._.Set." hidden="1">{"IS FE with Ratios",#N/A,FALSE,"Far East";"PF CF Far East",#N/A,FALSE,"Far East";"DCF Far East Matrix",#N/A,FALSE,"Far East"}</definedName>
    <definedName name="wrn.fasb69." localSheetId="0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asb69.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CB." localSheetId="0" hidden="1">{"FCB_ALL",#N/A,FALSE,"FCB"}</definedName>
    <definedName name="wrn.FCB." hidden="1">{"FCB_ALL",#N/A,FALSE,"FCB"}</definedName>
    <definedName name="wrn.fcb2" localSheetId="0" hidden="1">{"FCB_ALL",#N/A,FALSE,"FCB"}</definedName>
    <definedName name="wrn.fcb2" hidden="1">{"FCB_ALL",#N/A,FALSE,"FCB"}</definedName>
    <definedName name="wrn.FE._.Sensitivity." localSheetId="0" hidden="1">{"Far East Top",#N/A,FALSE,"FE Model";"Far East Mid",#N/A,FALSE,"FE Model";"Far East Base",#N/A,FALSE,"FE Model"}</definedName>
    <definedName name="wrn.FE._.Sensitivity." hidden="1">{"Far East Top",#N/A,FALSE,"FE Model";"Far East Mid",#N/A,FALSE,"FE Model";"Far East Base",#N/A,FALSE,"FE Model"}</definedName>
    <definedName name="wrn.Feasibility." localSheetId="0" hidden="1">{"Feasibility",#N/A,FALSE,"Lot 101 - Feas - B &amp; B"}</definedName>
    <definedName name="wrn.Feasibility." hidden="1">{"Feasibility",#N/A,FALSE,"Lot 101 - Feas - B &amp; B"}</definedName>
    <definedName name="wrn.February." localSheetId="0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R." localSheetId="0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localSheetId="0" hidden="1">{#N/A,#N/A,TRUE,"NIE_C";#N/A,#N/A,TRUE,"NIE";#N/A,#N/A,TRUE,"NIE_D";#N/A,#N/A,TRUE,"HEA -- EXP"}</definedName>
    <definedName name="wrn.FER_EXPENSES." hidden="1">{#N/A,#N/A,TRUE,"NIE_C";#N/A,#N/A,TRUE,"NIE";#N/A,#N/A,TRUE,"NIE_D";#N/A,#N/A,TRUE,"HEA -- EXP"}</definedName>
    <definedName name="wrn.FER_NIA." localSheetId="0" hidden="1">{#N/A,#N/A,FALSE,"HEA NIA";#N/A,#N/A,FALSE,"CHART";#N/A,#N/A,FALSE,"NIA";#N/A,#N/A,FALSE,"WF_DET"}</definedName>
    <definedName name="wrn.FER_NIA." hidden="1">{#N/A,#N/A,FALSE,"HEA NIA";#N/A,#N/A,FALSE,"CHART";#N/A,#N/A,FALSE,"NIA";#N/A,#N/A,FALSE,"WF_DET"}</definedName>
    <definedName name="wrn.FER_REVENUES." localSheetId="0" hidden="1">{#N/A,#N/A,TRUE,"NII_C";#N/A,#N/A,TRUE,"NII";#N/A,#N/A,TRUE,"NII_D";#N/A,#N/A,TRUE,"HEA --REV"}</definedName>
    <definedName name="wrn.FER_REVENUES." hidden="1">{#N/A,#N/A,TRUE,"NII_C";#N/A,#N/A,TRUE,"NII";#N/A,#N/A,TRUE,"NII_D";#N/A,#N/A,TRUE,"HEA --REV"}</definedName>
    <definedName name="wrn.FHUSS." localSheetId="0" hidden="1">{"fhuss",#N/A,FALSE,"FHUSS";"fhmgt",#N/A,FALSE,"FHMGT"}</definedName>
    <definedName name="wrn.FHUSS." hidden="1">{"fhuss",#N/A,FALSE,"FHUSS";"fhmgt",#N/A,FALSE,"FHMGT"}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localSheetId="0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._.Year._.95.96.Phase3" localSheetId="0" hidden="1">{"Fin Year 95.96",#N/A,FALSE,"Cash Flow"}</definedName>
    <definedName name="wrn.Fin._.Year._.95.96.Phase3" hidden="1">{"Fin Year 95.96",#N/A,FALSE,"Cash Flow"}</definedName>
    <definedName name="wrn.Final." localSheetId="0" hidden="1">{"Final",#N/A,FALSE,"Feb-96"}</definedName>
    <definedName name="wrn.Final." hidden="1">{"Final",#N/A,FALSE,"Feb-96"}</definedName>
    <definedName name="wrn.Financial._.Output." localSheetId="0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Report." localSheetId="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s." localSheetId="0" hidden="1">{#N/A,#N/A,FALSE,"Overview";#N/A,#N/A,FALSE,"santafe";#N/A,#N/A,FALSE,"noble";#N/A,#N/A,FALSE,"Combined Results";#N/A,#N/A,FALSE,"Earnings"}</definedName>
    <definedName name="wrn.Financial._.Reports." hidden="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Review._.February." localSheetId="0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localSheetId="0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wrn.FINANCIAL._.STATEMENTS.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wrn.Financial._.Summary._.NZ._.DOLLARS." localSheetId="0" hidden="1">{#N/A,#N/A,FALSE,"Variables";#N/A,#N/A,FALSE,"NPV Cashflows NZ$";#N/A,#N/A,FALSE,"Cashflows NZ$"}</definedName>
    <definedName name="wrn.Financial._.Summary._.NZ._.DOLLARS." hidden="1">{#N/A,#N/A,FALSE,"Variables";#N/A,#N/A,FALSE,"NPV Cashflows NZ$";#N/A,#N/A,FALSE,"Cashflows NZ$"}</definedName>
    <definedName name="wrn.Financial._.Summary._.US._.Dollars." localSheetId="0" hidden="1">{#N/A,#N/A,FALSE,"Variables";#N/A,#N/A,FALSE,"Cashflows";#N/A,#N/A,FALSE,"NPV Cashflow"}</definedName>
    <definedName name="wrn.Financial._.Summary._.US._.Dollars." hidden="1">{#N/A,#N/A,FALSE,"Variables";#N/A,#N/A,FALSE,"Cashflows";#N/A,#N/A,FALSE,"NPV Cashflow"}</definedName>
    <definedName name="wrn.Financials." localSheetId="0" hidden="1">{#N/A,#N/A,TRUE,"Income Statement";#N/A,#N/A,TRUE,"Balance Sheet";#N/A,#N/A,TRUE,"Cash Flow"}</definedName>
    <definedName name="wrn.financials." hidden="1">{"cashflow",#N/A,FALSE,"Fin'l Stmts.";"income",#N/A,FALSE,"Fin'l Stmts.";"balance",#N/A,FALSE,"Fin'l Stmts.";"capital",#N/A,FALSE,"Fin'l Stmts."}</definedName>
    <definedName name="wrn.FINANCIALS._.10K." localSheetId="0" hidden="1">{#N/A,#N/A,FALSE,"BS";#N/A,#N/A,FALSE,"PL_10K";#N/A,#N/A,FALSE,"SOE";#N/A,#N/A,FALSE,"SCF"}</definedName>
    <definedName name="wrn.FINANCIALS._.10K." hidden="1">{#N/A,#N/A,FALSE,"BS";#N/A,#N/A,FALSE,"PL_10K";#N/A,#N/A,FALSE,"SOE";#N/A,#N/A,FALSE,"SCF"}</definedName>
    <definedName name="wrn.FINANCIALS._.10Q." localSheetId="0" hidden="1">{#N/A,#N/A,FALSE,"BS";#N/A,#N/A,FALSE,"PL_10Q";#N/A,#N/A,FALSE,"SOE";#N/A,#N/A,FALSE,"SCF"}</definedName>
    <definedName name="wrn.FINANCIALS._.10Q." hidden="1">{#N/A,#N/A,FALSE,"BS";#N/A,#N/A,FALSE,"PL_10Q";#N/A,#N/A,FALSE,"SOE";#N/A,#N/A,FALSE,"SCF"}</definedName>
    <definedName name="wrn.Financials_long." localSheetId="0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rst2." localSheetId="0" hidden="1">{#N/A,#N/A,FALSE,"sum-don";#N/A,#N/A,FALSE,"inc-don"}</definedName>
    <definedName name="wrn.first2." hidden="1">{#N/A,#N/A,FALSE,"sum-don";#N/A,#N/A,FALSE,"inc-don"}</definedName>
    <definedName name="wrn.first3." localSheetId="0" hidden="1">{#N/A,#N/A,FALSE,"Summary";#N/A,#N/A,FALSE,"proj1";#N/A,#N/A,FALSE,"proj2"}</definedName>
    <definedName name="wrn.first3." hidden="1">{#N/A,#N/A,FALSE,"Summary";#N/A,#N/A,FALSE,"proj1";#N/A,#N/A,FALSE,"proj2"}</definedName>
    <definedName name="wrn.first4." localSheetId="0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Five._.Year._.Record." localSheetId="0" hidden="1">{"Five Year Record",#N/A,FALSE,"Front and Back"}</definedName>
    <definedName name="wrn.Five._.Year._.Record." hidden="1">{"Five Year Record",#N/A,FALSE,"Front and Back"}</definedName>
    <definedName name="wrn.FIXED._.ASSETS.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leck." localSheetId="0" hidden="1">{"first",#N/A,FALSE,"FLEXPAC2";"second",#N/A,FALSE,"FLEXPAC2"}</definedName>
    <definedName name="wrn.fleck." hidden="1">{"first",#N/A,FALSE,"FLEXPAC2";"second",#N/A,FALSE,"FLEXPAC2"}</definedName>
    <definedName name="wrn.fleckcompac." localSheetId="0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leet." localSheetId="0" hidden="1">{"FleetDetailsNE",#N/A,FALSE,"NEForecast"}</definedName>
    <definedName name="wrn.Fleet." hidden="1">{"FleetDetailsNE",#N/A,FALSE,"NEForecast"}</definedName>
    <definedName name="wrn.FOC._.Detail." localSheetId="0" hidden="1">{#N/A,#N/A,TRUE,"FOC_Product_Assumptions"}</definedName>
    <definedName name="wrn.FOC._.Detail." hidden="1">{#N/A,#N/A,TRUE,"FOC_Product_Assumptions"}</definedName>
    <definedName name="wrn.Forecast._.Q4a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Red._.Book." localSheetId="0" hidden="1">{"RB QY $",#N/A,FALSE,"Fin STMT";"RB QY Stats",#N/A,FALSE,"Fin STMT";"RB 00 $",#N/A,FALSE,"Fin STMT";"RB 00 Stats",#N/A,FALSE,"Fin STMT";"RB 01 $",#N/A,FALSE,"Fin STMT";"RB 01 Stats",#N/A,FALSE,"Fin STMT"}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localSheetId="0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2" localSheetId="0" hidden="1">{#N/A,#N/A,FALSE,"model"}</definedName>
    <definedName name="wrn.forecast2" hidden="1">{#N/A,#N/A,FALSE,"model"}</definedName>
    <definedName name="wrn.forecast2.assumptions." localSheetId="0" hidden="1">{#N/A,#N/A,FALSE,"model"}</definedName>
    <definedName name="wrn.forecast2.assumptions." hidden="1">{#N/A,#N/A,FALSE,"model"}</definedName>
    <definedName name="wrn.forecastassumptions." localSheetId="0" hidden="1">{#N/A,#N/A,FALSE,"model"}</definedName>
    <definedName name="wrn.forecastassumptions." hidden="1">{#N/A,#N/A,FALSE,"model"}</definedName>
    <definedName name="wrn.forecastassumptions2" localSheetId="0" hidden="1">{#N/A,#N/A,FALSE,"model"}</definedName>
    <definedName name="wrn.forecastassumptions2" hidden="1">{#N/A,#N/A,FALSE,"model"}</definedName>
    <definedName name="wrn.forecastROIC." localSheetId="0" hidden="1">{#N/A,#N/A,FALSE,"model"}</definedName>
    <definedName name="wrn.forecastROIC." hidden="1">{#N/A,#N/A,FALSE,"model"}</definedName>
    <definedName name="wrn.forecastROIC2" localSheetId="0" hidden="1">{#N/A,#N/A,FALSE,"model"}</definedName>
    <definedName name="wrn.forecastROIC2" hidden="1">{#N/A,#N/A,FALSE,"model"}</definedName>
    <definedName name="wrn.forecastROIC2." localSheetId="0" hidden="1">{#N/A,#N/A,FALSE,"model"}</definedName>
    <definedName name="wrn.forecastROIC2." hidden="1">{#N/A,#N/A,FALSE,"model"}</definedName>
    <definedName name="wrn.form." localSheetId="0" hidden="1">{#N/A,#N/A,FALSE,"OffAdvance";#N/A,#N/A,FALSE,"OffExpRprt";#N/A,#N/A,FALSE,"Entertmnt";#N/A,#N/A,FALSE,"Promotion";#N/A,#N/A,FALSE,"Travelling"}</definedName>
    <definedName name="wrn.form." hidden="1">{#N/A,#N/A,FALSE,"OffAdvance";#N/A,#N/A,FALSE,"OffExpRprt";#N/A,#N/A,FALSE,"Entertmnt";#N/A,#N/A,FALSE,"Promotion";#N/A,#N/A,FALSE,"Travelling"}</definedName>
    <definedName name="wrn.form._1" localSheetId="0" hidden="1">{#N/A,#N/A,FALSE,"OffAdvance";#N/A,#N/A,FALSE,"OffExpRprt";#N/A,#N/A,FALSE,"Entertmnt";#N/A,#N/A,FALSE,"Promotion";#N/A,#N/A,FALSE,"Travelling"}</definedName>
    <definedName name="wrn.form._1" hidden="1">{#N/A,#N/A,FALSE,"OffAdvance";#N/A,#N/A,FALSE,"OffExpRprt";#N/A,#N/A,FALSE,"Entertmnt";#N/A,#N/A,FALSE,"Promotion";#N/A,#N/A,FALSE,"Travelling"}</definedName>
    <definedName name="wrn.forms." localSheetId="0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örster." localSheetId="0" hidden="1">{"GuVGmbH",#N/A,FALSE,"ratios";"BilanzGmbH",#N/A,FALSE,"ratios";"BilanzKG",#N/A,FALSE,"ratios";"GuVKG",#N/A,FALSE,"ratios"}</definedName>
    <definedName name="wrn.Förster." hidden="1">{"GuVGmbH",#N/A,FALSE,"ratios";"BilanzGmbH",#N/A,FALSE,"ratios";"BilanzKG",#N/A,FALSE,"ratios";"GuVKG",#N/A,FALSE,"ratios"}</definedName>
    <definedName name="wrn.FOschedules." localSheetId="0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pkg." localSheetId="0" hidden="1">{#N/A,#N/A,FALSE,"Consolidated Shipley";#N/A,#N/A,FALSE,"Consolidated PWB";#N/A,#N/A,FALSE,"Consolidated Micro"}</definedName>
    <definedName name="wrn.fpkg." hidden="1">{#N/A,#N/A,FALSE,"Consolidated Shipley";#N/A,#N/A,FALSE,"Consolidated PWB";#N/A,#N/A,FALSE,"Consolidated Micro"}</definedName>
    <definedName name="wrn.fpkg1" localSheetId="0" hidden="1">{#N/A,#N/A,FALSE,"Consolidated Shipley";#N/A,#N/A,FALSE,"Consolidated PWB";#N/A,#N/A,FALSE,"Consolidated Micro"}</definedName>
    <definedName name="wrn.fpkg1" hidden="1">{#N/A,#N/A,FALSE,"Consolidated Shipley";#N/A,#N/A,FALSE,"Consolidated PWB";#N/A,#N/A,FALSE,"Consolidated Micro"}</definedName>
    <definedName name="wrn.fpkg2" localSheetId="0" hidden="1">{#N/A,#N/A,FALSE,"Consolidated Shipley";#N/A,#N/A,FALSE,"Consolidated PWB";#N/A,#N/A,FALSE,"Consolidated Micro"}</definedName>
    <definedName name="wrn.fpkg2" hidden="1">{#N/A,#N/A,FALSE,"Consolidated Shipley";#N/A,#N/A,FALSE,"Consolidated PWB";#N/A,#N/A,FALSE,"Consolidated Micro"}</definedName>
    <definedName name="wrn.fpkg3" localSheetId="0" hidden="1">{#N/A,#N/A,FALSE,"Consolidated Shipley";#N/A,#N/A,FALSE,"Consolidated PWB";#N/A,#N/A,FALSE,"Consolidated Micro"}</definedName>
    <definedName name="wrn.fpkg3" hidden="1">{#N/A,#N/A,FALSE,"Consolidated Shipley";#N/A,#N/A,FALSE,"Consolidated PWB";#N/A,#N/A,FALSE,"Consolidated Micro"}</definedName>
    <definedName name="wrn.Francais." localSheetId="0" hidden="1">{#N/A,#N/A,FALSE,"Hypothèses"}</definedName>
    <definedName name="wrn.Francais." hidden="1">{#N/A,#N/A,FALSE,"Hypothèses"}</definedName>
    <definedName name="wrn.fred." localSheetId="0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iendly." localSheetId="0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ront._.Page." localSheetId="0" hidden="1">{"Front Page",#N/A,FALSE,"Front and Back"}</definedName>
    <definedName name="wrn.Front._.Page." hidden="1">{"Front Page",#N/A,FALSE,"Front and Back"}</definedName>
    <definedName name="wrn.FS." localSheetId="0" hidden="1">{#N/A,#N/A,FALSE,"MEMO";#N/A,#N/A,FALSE,"SUM";#N/A,#N/A,FALSE,"BS";#N/A,#N/A,FALSE,"CF";#N/A,#N/A,FALSE,"IS";#N/A,#N/A,FALSE,"TON";#N/A,#N/A,FALSE,"MAR"}</definedName>
    <definedName name="wrn.FS." hidden="1">{#N/A,#N/A,FALSE,"MEMO";#N/A,#N/A,FALSE,"SUM";#N/A,#N/A,FALSE,"BS";#N/A,#N/A,FALSE,"CF";#N/A,#N/A,FALSE,"IS";#N/A,#N/A,FALSE,"TON";#N/A,#N/A,FALSE,"MAR"}</definedName>
    <definedName name="wrn.FS._.AND._.TBLS._.10K." localSheetId="0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wrn.FStatemt." localSheetId="0" hidden="1">{#N/A,#N/A,FALSE,"BALANCE SHEET";#N/A,#N/A,FALSE,"P &amp; L (TAX)";#N/A,#N/A,FALSE,"NOTE 1";#N/A,#N/A,FALSE,"NOTE 2,3,4,5,6";#N/A,#N/A,FALSE,"Note 7,8(F.A)";#N/A,#N/A,FALSE,"Note 9,10";#N/A,#N/A,FALSE,"DETAIL P&amp;L";#N/A,#N/A,FALSE,"SELLING &amp; ADMIN.EXP";#N/A,#N/A,FALSE,"Purchases Ageing";#N/A,#N/A,FALSE,"Bank Borrowing";#N/A,#N/A,FALSE,"Cost of sales"}</definedName>
    <definedName name="wrn.FStatemt." hidden="1">{#N/A,#N/A,FALSE,"BALANCE SHEET";#N/A,#N/A,FALSE,"P &amp; L (TAX)";#N/A,#N/A,FALSE,"NOTE 1";#N/A,#N/A,FALSE,"NOTE 2,3,4,5,6";#N/A,#N/A,FALSE,"Note 7,8(F.A)";#N/A,#N/A,FALSE,"Note 9,10";#N/A,#N/A,FALSE,"DETAIL P&amp;L";#N/A,#N/A,FALSE,"SELLING &amp; ADMIN.EXP";#N/A,#N/A,FALSE,"Purchases Ageing";#N/A,#N/A,FALSE,"Bank Borrowing";#N/A,#N/A,FALSE,"Cost of sales"}</definedName>
    <definedName name="wrn.fu" localSheetId="0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" localSheetId="0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wrn.full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wrn.Full." localSheetId="0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" hidden="1">{"Comp1",#N/A,FALSE,"COMP";"Comp2",#N/A,FALSE,"COMP";"Comp3",#N/A,FALSE,"COMP";"Comp4",#N/A,FALSE,"COMP"}</definedName>
    <definedName name="wrn.Full._.Budget." localSheetId="0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Full._.Cash._.Flow.Phase3" localSheetId="0" hidden="1">{"Full Cash Flow",#N/A,FALSE,"Cash Flow"}</definedName>
    <definedName name="wrn.Full._.Cash._.Flow.Phase3" hidden="1">{"Full Cash Flow",#N/A,FALSE,"Cash Flow"}</definedName>
    <definedName name="wrn.Full._.Model." localSheetId="0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del.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del._.Out._.Put." localSheetId="0" hidden="1">{#N/A,#N/A,FALSE,"Variables";#N/A,#N/A,FALSE,"Woodflow 2";#N/A,#N/A,FALSE,"Log Prices";#N/A,#N/A,FALSE,"Revenues";#N/A,#N/A,FALSE,"Harvesting ";#N/A,#N/A,FALSE,"Forest Developement";#N/A,#N/A,FALSE,"Cashflows NZ$";#N/A,#N/A,FALSE,"NPV Cashflows NZ$"}</definedName>
    <definedName name="wrn.Full._.Model._.Out._.Put." hidden="1">{#N/A,#N/A,FALSE,"Variables";#N/A,#N/A,FALSE,"Woodflow 2";#N/A,#N/A,FALSE,"Log Prices";#N/A,#N/A,FALSE,"Revenues";#N/A,#N/A,FALSE,"Harvesting ";#N/A,#N/A,FALSE,"Forest Developement";#N/A,#N/A,FALSE,"Cashflows NZ$";#N/A,#N/A,FALSE,"NPV Cashflows NZ$"}</definedName>
    <definedName name="wrn.full._.models." localSheetId="0" hidden="1">{"bc I model",#N/A,TRUE,"Big Cajun I";"bc II model",#N/A,TRUE,"Big Cajun II";"bc net ppa model",#N/A,TRUE,"Big Cajun Net PPAs";"bc peaking model",#N/A,TRUE,"BC Peaking";"sterlington model",#N/A,TRUE,"Sterlington";"pike model",#N/A,TRUE,"Pike";"batesville 1 model",#N/A,TRUE,"Batesville 1";"bayou cove model",#N/A,TRUE,"Bayou Cove"}</definedName>
    <definedName name="wrn.full._.models." hidden="1">{"bc I model",#N/A,TRUE,"Big Cajun I";"bc II model",#N/A,TRUE,"Big Cajun II";"bc net ppa model",#N/A,TRUE,"Big Cajun Net PPAs";"bc peaking model",#N/A,TRUE,"BC Peaking";"sterlington model",#N/A,TRUE,"Sterlington";"pike model",#N/A,TRUE,"Pike";"batesville 1 model",#N/A,TRUE,"Batesville 1";"bayou cove model",#N/A,TRUE,"Bayou Cove"}</definedName>
    <definedName name="wrn.Full._.Monty.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localSheetId="0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Year." localSheetId="0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wrn.Full._.Year.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wrn.Full._.Year._.in._.USD._.with._.all._.details." localSheetId="0" hidden="1">{#N/A,#N/A,FALSE,"TFX Med. Europe Full Year in $"}</definedName>
    <definedName name="wrn.Full._.Year._.in._.USD._.with._.all._.details." hidden="1">{#N/A,#N/A,FALSE,"TFX Med. Europe Full Year in $"}</definedName>
    <definedName name="wrn.Full.2" localSheetId="0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Model." localSheetId="0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Printout.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nding._.Analysis." localSheetId="0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_.PRINT." localSheetId="0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Y01_Fin_Stmts." localSheetId="0" hidden="1">{"FY01_Assets",#N/A,FALSE,"Fin Stmt Budget";"FY01_Liabilities",#N/A,FALSE,"Fin Stmt Budget";"FY01_Inc_Stmt",#N/A,FALSE,"Fin Stmt Budget";"FY01_SOCF",#N/A,FALSE,"Fin Stmt Budget"}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localSheetId="0" hidden="1">{"FY02_Assets",#N/A,FALSE,"Fin Stmt Budget";"FY02_Liabilities",#N/A,FALSE,"Fin Stmt Budget";"FY02_Inc_Stmt",#N/A,FALSE,"Fin Stmt Budget";"FY02_SOCF",#N/A,FALSE,"Fin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localSheetId="0" hidden="1">{"FY03_Assets",#N/A,FALSE,"Fin Stmt Budget";"FY03_Liabilities",#N/A,FALSE,"Fin Stmt Budget";"FY03_Inc_Stmt",#N/A,FALSE,"Fin Stmt Budget";"FY03_SOCF",#N/A,FALSE,"Fin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localSheetId="0" hidden="1">{"FY04_Assets",#N/A,FALSE,"Fin Stmt Budget";"FY04_Liabilities",#N/A,FALSE,"Fin Stmt Budget";"FY04_Inc_Stmt",#N/A,FALSE,"Fin Stmt Budget";"FY04_SOCF",#N/A,FALSE,"Fin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localSheetId="0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localSheetId="0" hidden="1">{"FY01_Assets",#N/A,FALSE,"Fin Stmt Budget";"FY01_Liabilities",#N/A,FALSE,"Fin Stmt Budget";"FY01_Inc_Stmt",#N/A,FALSE,"Fin Stmt Budget";"FY01_SOCF",#N/A,FALSE,"Fin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localSheetId="0" hidden="1">{"FY04_Assets",#N/A,FALSE,"Fin Stmt Budget";"FY04_Liabilities",#N/A,FALSE,"Fin Stmt Budget";"FY04_Inc_Stmt",#N/A,FALSE,"Fin Stmt Budget";"FY04_SOCF",#N/A,FALSE,"Fin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7SBP." localSheetId="0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arage." localSheetId="0" hidden="1">{#N/A,#N/A,FALSE,"Garage Assumpt 1";#N/A,#N/A,FALSE,"Garage Op Proj";#N/A,#N/A,FALSE,"Hist I&amp;E";#N/A,#N/A,FALSE,"Garage Lease"}</definedName>
    <definedName name="wrn.Garage." hidden="1">{#N/A,#N/A,FALSE,"Garage Assumpt 1";#N/A,#N/A,FALSE,"Garage Op Proj";#N/A,#N/A,FALSE,"Hist I&amp;E";#N/A,#N/A,FALSE,"Garage Lease"}</definedName>
    <definedName name="wrn.GASCOND." localSheetId="0" hidden="1">{"GASCOND",#N/A,FALSE,"CONDENSATE";"CRUDECOND",#N/A,FALSE,"CONDENSATE";"TOTALCOND",#N/A,FALSE,"CONDENSATE"}</definedName>
    <definedName name="wrn.GASCOND." hidden="1">{"GASCOND",#N/A,FALSE,"CONDENSATE";"CRUDECOND",#N/A,FALSE,"CONDENSATE";"TOTALCOND",#N/A,FALSE,"CONDENSATE"}</definedName>
    <definedName name="wrn.GASODEM." localSheetId="0" hidden="1">{"monthly",#N/A,FALSE,"GASODEM";"qtr to yr",#N/A,FALSE,"GASODEM"}</definedName>
    <definedName name="wrn.GASODEM." hidden="1">{"monthly",#N/A,FALSE,"GASODEM";"qtr to yr",#N/A,FALSE,"GASODEM"}</definedName>
    <definedName name="wrn.gb." localSheetId="0" hidden="1">{#N/A,#N/A,FALSE,"资产负债表";#N/A,#N/A,FALSE,"资产负债表"}</definedName>
    <definedName name="wrn.gb." hidden="1">{#N/A,#N/A,FALSE,"资产负债表";#N/A,#N/A,FALSE,"资产负债表"}</definedName>
    <definedName name="wrn.Geographic._.Trends." localSheetId="0" hidden="1">{"Geographic P1",#N/A,FALSE,"Division &amp; Geog"}</definedName>
    <definedName name="wrn.Geographic._.Trends." hidden="1">{"Geographic P1",#N/A,FALSE,"Division &amp; Geog"}</definedName>
    <definedName name="wrn.GM." localSheetId="0" hidden="1">{"capacity",#N/A,FALSE,"Guangzhou";"Volume",#N/A,FALSE,"Guangmei"}</definedName>
    <definedName name="wrn.GM." hidden="1">{"capacity",#N/A,FALSE,"Guangzhou";"Volume",#N/A,FALSE,"Guangmei"}</definedName>
    <definedName name="wrn.GP._.Invoices." localSheetId="0" hidden="1">{#N/A,#N/A,FALSE,"Schwed";#N/A,#N/A,FALSE,"Theil";#N/A,#N/A,FALSE,"Chou";#N/A,#N/A,FALSE,"Liu";#N/A,#N/A,FALSE,"Patel";#N/A,#N/A,FALSE,"Fong";#N/A,#N/A,FALSE,"Bosch";#N/A,#N/A,FALSE,"Poblador";#N/A,#N/A,FALSE,"Chung";#N/A,#N/A,FALSE,"Hahn";#N/A,#N/A,FALSE,"Hanmer";#N/A,#N/A,FALSE,"Hawkyard";#N/A,#N/A,FALSE,"Wolhardt";#N/A,#N/A,FALSE,"FRY";#N/A,#N/A,FALSE,"Hoffen";#N/A,#N/A,FALSE,"Hoffman";#N/A,#N/A,FALSE,"Bechtel";#N/A,#N/A,FALSE,"Ehrenkranz";#N/A,#N/A,FALSE,"Abramson";#N/A,#N/A,FALSE,"Clifford";#N/A,#N/A,FALSE,"Chin";#N/A,#N/A,FALSE,"Di Lorenzo";#N/A,#N/A,FALSE,"Golan"}</definedName>
    <definedName name="wrn.GP._.Invoices." hidden="1">{#N/A,#N/A,FALSE,"Schwed";#N/A,#N/A,FALSE,"Theil";#N/A,#N/A,FALSE,"Chou";#N/A,#N/A,FALSE,"Liu";#N/A,#N/A,FALSE,"Patel";#N/A,#N/A,FALSE,"Fong";#N/A,#N/A,FALSE,"Bosch";#N/A,#N/A,FALSE,"Poblador";#N/A,#N/A,FALSE,"Chung";#N/A,#N/A,FALSE,"Hahn";#N/A,#N/A,FALSE,"Hanmer";#N/A,#N/A,FALSE,"Hawkyard";#N/A,#N/A,FALSE,"Wolhardt";#N/A,#N/A,FALSE,"FRY";#N/A,#N/A,FALSE,"Hoffen";#N/A,#N/A,FALSE,"Hoffman";#N/A,#N/A,FALSE,"Bechtel";#N/A,#N/A,FALSE,"Ehrenkranz";#N/A,#N/A,FALSE,"Abramson";#N/A,#N/A,FALSE,"Clifford";#N/A,#N/A,FALSE,"Chin";#N/A,#N/A,FALSE,"Di Lorenzo";#N/A,#N/A,FALSE,"Golan"}</definedName>
    <definedName name="wrn.GP._.Invoices._1" localSheetId="0" hidden="1">{#N/A,#N/A,FALSE,"Schwed";#N/A,#N/A,FALSE,"Theil";#N/A,#N/A,FALSE,"Chou";#N/A,#N/A,FALSE,"Liu";#N/A,#N/A,FALSE,"Patel";#N/A,#N/A,FALSE,"Fong";#N/A,#N/A,FALSE,"Bosch";#N/A,#N/A,FALSE,"Poblador";#N/A,#N/A,FALSE,"Chung";#N/A,#N/A,FALSE,"Hahn";#N/A,#N/A,FALSE,"Hanmer";#N/A,#N/A,FALSE,"Hawkyard";#N/A,#N/A,FALSE,"Wolhardt";#N/A,#N/A,FALSE,"FRY";#N/A,#N/A,FALSE,"Hoffen";#N/A,#N/A,FALSE,"Hoffman";#N/A,#N/A,FALSE,"Bechtel";#N/A,#N/A,FALSE,"Ehrenkranz";#N/A,#N/A,FALSE,"Abramson";#N/A,#N/A,FALSE,"Clifford";#N/A,#N/A,FALSE,"Chin";#N/A,#N/A,FALSE,"Di Lorenzo";#N/A,#N/A,FALSE,"Golan"}</definedName>
    <definedName name="wrn.GP._.Invoices._1" hidden="1">{#N/A,#N/A,FALSE,"Schwed";#N/A,#N/A,FALSE,"Theil";#N/A,#N/A,FALSE,"Chou";#N/A,#N/A,FALSE,"Liu";#N/A,#N/A,FALSE,"Patel";#N/A,#N/A,FALSE,"Fong";#N/A,#N/A,FALSE,"Bosch";#N/A,#N/A,FALSE,"Poblador";#N/A,#N/A,FALSE,"Chung";#N/A,#N/A,FALSE,"Hahn";#N/A,#N/A,FALSE,"Hanmer";#N/A,#N/A,FALSE,"Hawkyard";#N/A,#N/A,FALSE,"Wolhardt";#N/A,#N/A,FALSE,"FRY";#N/A,#N/A,FALSE,"Hoffen";#N/A,#N/A,FALSE,"Hoffman";#N/A,#N/A,FALSE,"Bechtel";#N/A,#N/A,FALSE,"Ehrenkranz";#N/A,#N/A,FALSE,"Abramson";#N/A,#N/A,FALSE,"Clifford";#N/A,#N/A,FALSE,"Chin";#N/A,#N/A,FALSE,"Di Lorenzo";#N/A,#N/A,FALSE,"Golan"}</definedName>
    <definedName name="wrn.GRAPHDEB." localSheetId="0" hidden="1">{"Allemagne",#N/A,FALSE,"Allemagne";"Espagne",#N/A,FALSE,"Espagne ";"France",#N/A,FALSE,"France";"R.-Uni",#N/A,FALSE,"Royaume Uni";"Italie",#N/A,FALSE,"Italie ";"Suisse",#N/A,FALSE,"Suisse ";"Japon",#N/A,FALSE,"Japon ";"Philippines",#N/A,FALSE,"Philippines ";"Australie",#N/A,FALSE,"Australie";"Canada",#N/A,FALSE,"Canada";"USA",#N/A,FALSE,"USA";"Mexique",#N/A,FALSE,"Mexique";"Brésil",#N/A,FALSE,"Bresil";"Stock.tot",#N/A,FALSE,"STOCKS TOT"}</definedName>
    <definedName name="wrn.GRAPHDEB." hidden="1">{"Allemagne",#N/A,FALSE,"Allemagne";"Espagne",#N/A,FALSE,"Espagne ";"France",#N/A,FALSE,"France";"R.-Uni",#N/A,FALSE,"Royaume Uni";"Italie",#N/A,FALSE,"Italie ";"Suisse",#N/A,FALSE,"Suisse ";"Japon",#N/A,FALSE,"Japon ";"Philippines",#N/A,FALSE,"Philippines ";"Australie",#N/A,FALSE,"Australie";"Canada",#N/A,FALSE,"Canada";"USA",#N/A,FALSE,"USA";"Mexique",#N/A,FALSE,"Mexique";"Brésil",#N/A,FALSE,"Bresil";"Stock.tot",#N/A,FALSE,"STOCKS TOT"}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oss._.margin._.detail." localSheetId="0" hidden="1">{"gross_margin1",#N/A,FALSE,"Gross Margin Detail";"gross_margin2",#N/A,FALSE,"Gross Margin Detail"}</definedName>
    <definedName name="wrn.gross._.margin._.detail." hidden="1">{"gross_margin1",#N/A,FALSE,"Gross Margin Detail";"gross_margin2",#N/A,FALSE,"Gross Margin Detail"}</definedName>
    <definedName name="wrn.GZ." localSheetId="0" hidden="1">{"Volume",#N/A,FALSE,"Guangzhou";"capacity",#N/A,FALSE,"Guangzhou"}</definedName>
    <definedName name="wrn.GZ." hidden="1">{"Volume",#N/A,FALSE,"Guangzhou";"capacity",#N/A,FALSE,"Guangzhou"}</definedName>
    <definedName name="wrn.HAMMOND." localSheetId="0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eadcount._.Worksheet." localSheetId="0" hidden="1">{"Headcount Worksheet",#N/A,FALSE,"HEADCOUNT"}</definedName>
    <definedName name="wrn.Headcount._.Worksheet." hidden="1">{"Headcount Worksheet",#N/A,FALSE,"HEADCOUNT"}</definedName>
    <definedName name="wrn.HEAT." localSheetId="0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eavy." localSheetId="0" hidden="1">{"heavy",#N/A,FALSE,"CNTRYTYPE"}</definedName>
    <definedName name="wrn.heavy." hidden="1">{"heavy",#N/A,FALSE,"CNTRYTYPE"}</definedName>
    <definedName name="wrn.HF." localSheetId="0" hidden="1">{"capacity",#N/A,FALSE,"Hefei";"Volume",#N/A,FALSE,"Hefei"}</definedName>
    <definedName name="wrn.HF." hidden="1">{"capacity",#N/A,FALSE,"Hefei";"Volume",#N/A,FALSE,"Hefei"}</definedName>
    <definedName name="wrn.Hist._.InE." localSheetId="0" hidden="1">{#N/A,#N/A,FALSE,"Hist I&amp;E - Consol";#N/A,#N/A,FALSE,"Hist I&amp;E - Lakes";#N/A,#N/A,FALSE,"Hist I&amp;E - Chabot";#N/A,#N/A,FALSE,"Hist I&amp;E - Diablo"}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localSheetId="0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Financials." localSheetId="0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performance." localSheetId="0" hidden="1">{"historical acquirer",#N/A,FALSE,"Historical Performance";"historical target",#N/A,FALSE,"Historical Performance"}</definedName>
    <definedName name="wrn.historical._.performance." hidden="1">{"historical acquirer",#N/A,FALSE,"Historical Performance";"historical target",#N/A,FALSE,"Historical Performance"}</definedName>
    <definedName name="wrn.history." localSheetId="0" hidden="1">{#N/A,#N/A,FALSE,"model"}</definedName>
    <definedName name="wrn.history." hidden="1">{#N/A,#N/A,FALSE,"model"}</definedName>
    <definedName name="wrn.history2" localSheetId="0" hidden="1">{#N/A,#N/A,FALSE,"model"}</definedName>
    <definedName name="wrn.history2" hidden="1">{#N/A,#N/A,FALSE,"model"}</definedName>
    <definedName name="wrn.history2." localSheetId="0" hidden="1">{#N/A,#N/A,FALSE,"model"}</definedName>
    <definedName name="wrn.history2." hidden="1">{#N/A,#N/A,FALSE,"model"}</definedName>
    <definedName name="wrn.histROIC." localSheetId="0" hidden="1">{#N/A,#N/A,FALSE,"model"}</definedName>
    <definedName name="wrn.histROIC." hidden="1">{#N/A,#N/A,FALSE,"model"}</definedName>
    <definedName name="wrn.histROIC2" localSheetId="0" hidden="1">{#N/A,#N/A,FALSE,"model"}</definedName>
    <definedName name="wrn.histROIC2" hidden="1">{#N/A,#N/A,FALSE,"model"}</definedName>
    <definedName name="wrn.histROIC3." localSheetId="0" hidden="1">{#N/A,#N/A,FALSE,"model"}</definedName>
    <definedName name="wrn.histROIC3." hidden="1">{#N/A,#N/A,FALSE,"model"}</definedName>
    <definedName name="wrn.hitex1." localSheetId="0" hidden="1">{"היטקס2סריגה",#N/A,FALSE,"היטקס מסרגות"}</definedName>
    <definedName name="wrn.hitex1." hidden="1">{"היטקס2סריגה",#N/A,FALSE,"היטקס מסרגות"}</definedName>
    <definedName name="wrn.hitex2." localSheetId="0" hidden="1">{"היטקס2סריגה",#N/A,FALSE,"היטקס מסרגות"}</definedName>
    <definedName name="wrn.hitex2." hidden="1">{"היטקס2סריגה",#N/A,FALSE,"היטקס מסרגות"}</definedName>
    <definedName name="wrn.Hydraulic.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Z." localSheetId="0" hidden="1">{"capacity",#N/A,FALSE,"Hangzhou";"volume",#N/A,FALSE,"Hangzhou"}</definedName>
    <definedName name="wrn.HZ." hidden="1">{"capacity",#N/A,FALSE,"Hangzhou";"volume",#N/A,FALSE,"Hangzhou"}</definedName>
    <definedName name="wrn.IFF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lijan._.Print." localSheetId="0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." localSheetId="0" hidden="1">{"vue1",#N/A,FALSE,"synthese";"vue2",#N/A,FALSE,"synthese"}</definedName>
    <definedName name="wrn.imp." hidden="1">{"vue1",#N/A,FALSE,"synthese";"vue2",#N/A,FALSE,"synthese"}</definedName>
    <definedName name="wrn.imprimir." localSheetId="0" hidden="1">{#N/A,#N/A,FALSE,"tipo prestatario";#N/A,#N/A,FALSE,"por importes";#N/A,#N/A,FALSE,"por plazos";#N/A,#N/A,FALSE,"por tipo  interes";#N/A,#N/A,FALSE,"desg. cart";#N/A,#N/A,FALSE,"act. dud. deuda"}</definedName>
    <definedName name="wrn.imprimir." hidden="1">{#N/A,#N/A,FALSE,"tipo prestatario";#N/A,#N/A,FALSE,"por importes";#N/A,#N/A,FALSE,"por plazos";#N/A,#N/A,FALSE,"por tipo  interes";#N/A,#N/A,FALSE,"desg. cart";#N/A,#N/A,FALSE,"act. dud. deuda"}</definedName>
    <definedName name="wrn.Income._.Q96." localSheetId="0" hidden="1">{#N/A,#N/A,FALSE,"Income Statement"}</definedName>
    <definedName name="wrn.Income._.Q96." hidden="1">{#N/A,#N/A,FALSE,"Income Statement"}</definedName>
    <definedName name="wrn.Income._.Q97." localSheetId="0" hidden="1">{#N/A,#N/A,FALSE,"Income Statement"}</definedName>
    <definedName name="wrn.Income._.Q97." hidden="1">{#N/A,#N/A,FALSE,"Income Statement"}</definedName>
    <definedName name="wrn.INCOME._.STATEMENT." localSheetId="0" hidden="1">{"INCOME STATEMENT",#N/A,FALSE,"Income Statement"}</definedName>
    <definedName name="wrn.INCOME._.STATEMENT." hidden="1">{"INCOME STATEMENT",#N/A,FALSE,"Income Statement"}</definedName>
    <definedName name="wrn.Income._.Statements." localSheetId="0" hidden="1">{"Annual Income",#N/A,FALSE,"Revenues";"Quarter Income",#N/A,FALSE,"Revenues"}</definedName>
    <definedName name="wrn.Income._.Statements." hidden="1">{"Annual Income",#N/A,FALSE,"Revenues";"Quarter Income",#N/A,FALSE,"Revenues"}</definedName>
    <definedName name="wrn.Income._.Stmt." localSheetId="0" hidden="1">{"Income Stmt",#N/A,FALSE,"Model"}</definedName>
    <definedName name="wrn.Income._.Stmt." hidden="1">{"Income Stmt",#N/A,FALSE,"Model"}</definedName>
    <definedName name="wrn.Income._.Years." localSheetId="0" hidden="1">{#N/A,#N/A,FALSE,"Income Statement"}</definedName>
    <definedName name="wrn.Income._.Years." hidden="1">{#N/A,#N/A,FALSE,"Income Statement"}</definedName>
    <definedName name="wrn.INDEPS." localSheetId="0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dia." localSheetId="0" hidden="1">{"India",#N/A,FALSE,"India"}</definedName>
    <definedName name="wrn.India." hidden="1">{"India",#N/A,FALSE,"India"}</definedName>
    <definedName name="wrn.Industry.xls." localSheetId="0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orme_modelo." localSheetId="0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rn.Informe_modelo.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rn.Input._.and._.Growths." localSheetId="0" hidden="1">{"Product Demands Input",#N/A,TRUE,"PRDEMPOR";"Annual Growth Rates",#N/A,TRUE,"PRDEMPOR"}</definedName>
    <definedName name="wrn.Input._.and._.Growths." hidden="1">{"Product Demands Input",#N/A,TRUE,"PRDEMPOR";"Annual Growth Rates",#N/A,TRUE,"PRDEMPOR"}</definedName>
    <definedName name="wrn.input._.and._.output.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ternal." localSheetId="0" hidden="1">{"EPS and CF",#N/A,FALSE;"Ops and Stats",#N/A,FALSE}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.is." localSheetId="0" hidden="1">{"internal is",#N/A,FALSE,"Model"}</definedName>
    <definedName name="wrn.Internal._.is." hidden="1">{"internal is",#N/A,FALSE,"Model"}</definedName>
    <definedName name="wrn.Internal._.Report._.for._.Martha." localSheetId="0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localSheetId="0" hidden="1">{"incstmtim",#N/A,TRUE,"Inc Stmt (I)";"balshtim",#N/A,TRUE,"Bal Sheet (I)";"scfim",#N/A,TRUE,"Cash Flow (I)";"capsummim",#N/A,TRUE,"Cap Summ (I)";"assumim",#N/A,TRUE,"Assum (I)"}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localSheetId="0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ventory._.aging." localSheetId="0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nvestments." localSheetId="0" hidden="1">{#N/A,#N/A,FALSE,"Summary";#N/A,#N/A,FALSE,"Domestic";#N/A,#N/A,FALSE,"Domestic MTM";#N/A,#N/A,FALSE,"Employee";#N/A,#N/A,FALSE,"Employee MTM";#N/A,#N/A,FALSE,"Entrep";#N/A,#N/A,FALSE,"Entrep MTM";#N/A,#N/A,FALSE,"Notes";#N/A,#N/A,FALSE,"Allscript Warrants";#N/A,#N/A,FALSE,"Allscripts Cost Basis"}</definedName>
    <definedName name="wrn.Investments." hidden="1">{#N/A,#N/A,FALSE,"Summary";#N/A,#N/A,FALSE,"Domestic";#N/A,#N/A,FALSE,"Domestic MTM";#N/A,#N/A,FALSE,"Employee";#N/A,#N/A,FALSE,"Employee MTM";#N/A,#N/A,FALSE,"Entrep";#N/A,#N/A,FALSE,"Entrep MTM";#N/A,#N/A,FALSE,"Notes";#N/A,#N/A,FALSE,"Allscript Warrants";#N/A,#N/A,FALSE,"Allscripts Cost Basis"}</definedName>
    <definedName name="wrn.IPO._.Valuation." localSheetId="0" hidden="1">{"assumptions",#N/A,FALSE,"Scenario 1";"valuation",#N/A,FALSE,"Scenario 1"}</definedName>
    <definedName name="wrn.IPO._.Valuation." hidden="1">{"assumptions",#N/A,FALSE,"Scenario 1";"valuation",#N/A,FALSE,"Scenario 1"}</definedName>
    <definedName name="wrn.ipovalue." localSheetId="0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S._.All." localSheetId="0" hidden="1">{"IS Q95",#N/A,FALSE,"C";"IS Q96",#N/A,FALSE,"C";"IS Years",#N/A,FALSE,"C"}</definedName>
    <definedName name="wrn.IS._.All." hidden="1">{"IS Q95",#N/A,FALSE,"C";"IS Q96",#N/A,FALSE,"C";"IS Years",#N/A,FALSE,"C"}</definedName>
    <definedName name="wrn.IS._.Annual." localSheetId="0" hidden="1">{"IS Annual",#N/A,FALSE,"Income Statement"}</definedName>
    <definedName name="wrn.IS._.Annual." hidden="1">{"IS Annual",#N/A,FALSE,"Income Statement"}</definedName>
    <definedName name="wrn.IS._.Q._.96." localSheetId="0" hidden="1">{"IS Q 96",#N/A,FALSE,"C"}</definedName>
    <definedName name="wrn.IS._.Q._.96." hidden="1">{"IS Q 96",#N/A,FALSE,"C"}</definedName>
    <definedName name="wrn.IS._.Q95." localSheetId="0" hidden="1">{"IS Q95",#N/A,FALSE,"C"}</definedName>
    <definedName name="wrn.IS._.Q95." hidden="1">{"IS Q95",#N/A,FALSE,"C"}</definedName>
    <definedName name="wrn.IS._.Q96." localSheetId="0" hidden="1">{"IS Q96",#N/A,FALSE,"C"}</definedName>
    <definedName name="wrn.IS._.Q96." hidden="1">{"IS Q96",#N/A,FALSE,"C"}</definedName>
    <definedName name="wrn.IS._.Q97." localSheetId="0" hidden="1">{"IS Q97",#N/A,FALSE,"C"}</definedName>
    <definedName name="wrn.IS._.Q97." hidden="1">{"IS Q97",#N/A,FALSE,"C"}</definedName>
    <definedName name="wrn.IS._.Qtr.." localSheetId="0" hidden="1">{"IS Qtr.",#N/A,FALSE,"Income Statement"}</definedName>
    <definedName name="wrn.IS._.Qtr.." hidden="1">{"IS Qtr.",#N/A,FALSE,"Income Statement"}</definedName>
    <definedName name="wrn.IS._.Quarterly." localSheetId="0" hidden="1">{"IS 96Q",#N/A,FALSE,"Income Statement";"IS 97Q",#N/A,FALSE,"Income Statement"}</definedName>
    <definedName name="wrn.IS._.Quarterly." hidden="1">{"IS 96Q",#N/A,FALSE,"Income Statement";"IS 97Q",#N/A,FALSE,"Income Statement"}</definedName>
    <definedName name="wrn.IS._.Yearly." localSheetId="0" hidden="1">{"IS Years",#N/A,FALSE,"Income Statement"}</definedName>
    <definedName name="wrn.IS._.Yearly." hidden="1">{"IS Years",#N/A,FALSE,"Income Statement"}</definedName>
    <definedName name="wrn.IS._.Years." localSheetId="0" hidden="1">{"IS Years",#N/A,FALSE,"C"}</definedName>
    <definedName name="wrn.IS._.Years." hidden="1">{"IS Years",#N/A,FALSE,"C"}</definedName>
    <definedName name="wrn.ISAnnualModel." localSheetId="0" hidden="1">{"AnnModel",#N/A,FALSE,"IS"}</definedName>
    <definedName name="wrn.ISAnnualModel." hidden="1">{"AnnModel",#N/A,FALSE,"IS"}</definedName>
    <definedName name="wrn.ISCG._.model." localSheetId="0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ISQtrModel." localSheetId="0" hidden="1">{"QtrModel",#N/A,FALSE,"IS"}</definedName>
    <definedName name="wrn.ISQtrModel." hidden="1">{"QtrModel",#N/A,FALSE,"IS"}</definedName>
    <definedName name="wrn.Italy." localSheetId="0" hidden="1">{#N/A,#N/A,FALSE,"Italy";#N/A,#N/A,FALSE,"Aperol Italy";#N/A,#N/A,FALSE,"Aperol Soda Italy";#N/A,#N/A,FALSE,"Spumanti";#N/A,#N/A,FALSE,"Barbieri Liqueur Italy";#N/A,#N/A,FALSE,"Others Italy"}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ANI._.REBATES." localSheetId="0" hidden="1">{"TOTAL",#N/A,FALSE,"A";"FISCAL94",#N/A,FALSE,"A";"FISCAL95",#N/A,FALSE,"A";"FISCAL96",#N/A,FALSE,"A";"misc page",#N/A,FALSE,"A"}</definedName>
    <definedName name="wrn.JANI._.REBATES." hidden="1">{"TOTAL",#N/A,FALSE,"A";"FISCAL94",#N/A,FALSE,"A";"FISCAL95",#N/A,FALSE,"A";"FISCAL96",#N/A,FALSE,"A";"misc page",#N/A,FALSE,"A"}</definedName>
    <definedName name="wrn.JANUARY." localSheetId="0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ff._.Standalone." localSheetId="0" hidden="1">{#N/A,#N/A,TRUE,"Acquirer_Cases_Input";#N/A,#N/A,TRUE,"Acquirer_Input";#N/A,#N/A,TRUE,"Acquirer"}</definedName>
    <definedName name="wrn.Jeff._.Standalone." hidden="1">{#N/A,#N/A,TRUE,"Acquirer_Cases_Input";#N/A,#N/A,TRUE,"Acquirer_Input";#N/A,#N/A,TRUE,"Acquirer"}</definedName>
    <definedName name="wrn.JG._.FE._.Dollar." localSheetId="0" hidden="1">{"JG FE Top",#N/A,FALSE,"JG FE $";"JG FE Bottom",#N/A,FALSE,"JG FE $"}</definedName>
    <definedName name="wrn.JG._.FE._.Dollar." hidden="1">{"JG FE Top",#N/A,FALSE,"JG FE $";"JG FE Bottom",#N/A,FALSE,"JG FE $"}</definedName>
    <definedName name="wrn.JG._.FE._.Yen." localSheetId="0" hidden="1">{"JG FE Top",#N/A,FALSE,"JG FE ¥";"JG FE Bottom",#N/A,FALSE,"JG FE ¥"}</definedName>
    <definedName name="wrn.JG._.FE._.Yen." hidden="1">{"JG FE Top",#N/A,FALSE,"JG FE ¥";"JG FE Bottom",#N/A,FALSE,"JG FE ¥"}</definedName>
    <definedName name="wrn.JODM._.Graphs.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0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wrn.june.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wrn.june._1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wrn.june._1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wrn.k1._.data." localSheetId="0" hidden="1">{#N/A,#N/A,FALSE,"Spread";#N/A,#N/A,FALSE,"input items";#N/A,#N/A,FALSE,"EAF LLC K-1";#N/A,#N/A,FALSE,"Sched D";#N/A,#N/A,FALSE,"1065";#N/A,#N/A,FALSE,"Marubeni Transfer";#N/A,#N/A,FALSE,"2000 Distributions";#N/A,#N/A,FALSE,"2000 Income Allocation";#N/A,#N/A,FALSE,"Cost Basis-stock distrib";#N/A,#N/A,FALSE,"Cap Call Summary"}</definedName>
    <definedName name="wrn.k1._.data." hidden="1">{#N/A,#N/A,FALSE,"Spread";#N/A,#N/A,FALSE,"input items";#N/A,#N/A,FALSE,"EAF LLC K-1";#N/A,#N/A,FALSE,"Sched D";#N/A,#N/A,FALSE,"1065";#N/A,#N/A,FALSE,"Marubeni Transfer";#N/A,#N/A,FALSE,"2000 Distributions";#N/A,#N/A,FALSE,"2000 Income Allocation";#N/A,#N/A,FALSE,"Cost Basis-stock distrib";#N/A,#N/A,FALSE,"Cap Call Summary"}</definedName>
    <definedName name="wrn.KATE." localSheetId="0" hidden="1">{"BALANCE SHEET",#N/A,FALSE,"FINANCIALS";"INCOME",#N/A,FALSE,"FINANCIALS";"RETAINED EARNINGS",#N/A,FALSE,"FINANCIALS";"SOCFP",#N/A,FALSE,"FINANCIALS";"TRIAL BALANCE",#N/A,FALSE,"FINANCIALS"}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enorderprint." localSheetId="0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y._.Pages." localSheetId="0" hidden="1">{#N/A,#N/A,FALSE,"Model";#N/A,#N/A,FALSE,"CapitalCosts"}</definedName>
    <definedName name="wrn.Key._.Pages." hidden="1">{#N/A,#N/A,FALSE,"Model";#N/A,#N/A,FALSE,"CapitalCosts"}</definedName>
    <definedName name="wrn.Key._.Summary." localSheetId="0" hidden="1">{"KeySummarySheet",#N/A,FALSE,"Key Summary"}</definedName>
    <definedName name="wrn.Key._.Summary." hidden="1">{"KeySummarySheet",#N/A,FALSE,"Key Summary"}</definedName>
    <definedName name="wrn.Key._.Summary.dv" localSheetId="0" hidden="1">{"KeySummarySheet",#N/A,FALSE,"Key Summary"}</definedName>
    <definedName name="wrn.Key._.Summary.dv" hidden="1">{"KeySummarySheet",#N/A,FALSE,"Key Summary"}</definedName>
    <definedName name="wrn.klkjoijp." localSheetId="0" hidden="1">{"ssssss",#N/A,FALSE,"太原"}</definedName>
    <definedName name="wrn.klkjoijp." hidden="1">{"ssssss",#N/A,FALSE,"太原"}</definedName>
    <definedName name="wrn.LBO." localSheetId="0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Summary." localSheetId="0" hidden="1">{"LBO Summary",#N/A,FALSE,"Summary"}</definedName>
    <definedName name="wrn.LBO._.Summary." hidden="1">{"LBO Summary",#N/A,FALSE,"Summary"}</definedName>
    <definedName name="wrn.LBO_Recap_Model.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_Recap_Model.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2." localSheetId="0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localSheetId="0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pfrog._.Financials." localSheetId="0" hidden="1">{#N/A,#N/A,TRUE,"Trust NewCo Output";#N/A,#N/A,TRUE,"iTV ServiceCo Output";#N/A,#N/A,TRUE,"BoxCo Output";#N/A,#N/A,TRUE,"iTV ServiceCo Detailed";#N/A,#N/A,TRUE,"iTV ServiceCo Assumptions";#N/A,#N/A,TRUE,"BoxCo Detailed";#N/A,#N/A,TRUE,"BoxCo Assumptions";#N/A,#N/A,TRUE,"Summary Deployment Schedule";#N/A,#N/A,TRUE,"Deployment Schedule"}</definedName>
    <definedName name="wrn.Leapfrog._.Financials." hidden="1">{#N/A,#N/A,TRUE,"Trust NewCo Output";#N/A,#N/A,TRUE,"iTV ServiceCo Output";#N/A,#N/A,TRUE,"BoxCo Output";#N/A,#N/A,TRUE,"iTV ServiceCo Detailed";#N/A,#N/A,TRUE,"iTV ServiceCo Assumptions";#N/A,#N/A,TRUE,"BoxCo Detailed";#N/A,#N/A,TRUE,"BoxCo Assumptions";#N/A,#N/A,TRUE,"Summary Deployment Schedule";#N/A,#N/A,TRUE,"Deployment Schedule"}</definedName>
    <definedName name="wrn.Lease_Deli." localSheetId="0" hidden="1">{#N/A,#N/A,FALSE,"COVER";#N/A,#N/A,FALSE,"Index";#N/A,#N/A,FALSE,"Non-Earning";#N/A,#N/A,FALSE,"Non-Earning-Recovery";#N/A,#N/A,FALSE,"Leasing_Equipo";#N/A,#N/A,FALSE,"Leasing_Auto";#N/A,#N/A,FALSE,"Leasing_Legal"}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localSheetId="0" hidden="1">{#N/A,#N/A,FALSE,"Initial Year";#N/A,#N/A,FALSE,"Historical";#N/A,#N/A,FALSE,"balsheet";#N/A,#N/A,FALSE,"incstate";#N/A,#N/A,FALSE,"Fleet"}</definedName>
    <definedName name="wrn.Leases.xls." hidden="1">{#N/A,#N/A,FALSE,"Initial Year";#N/A,#N/A,FALSE,"Historical";#N/A,#N/A,FALSE,"balsheet";#N/A,#N/A,FALSE,"incstate";#N/A,#N/A,FALSE,"Fleet"}</definedName>
    <definedName name="wrn.lh97." localSheetId="0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ght._.sour." localSheetId="0" hidden="1">{"light sour",#N/A,FALSE,"CNTRYTYPE"}</definedName>
    <definedName name="wrn.light._.sour." hidden="1">{"light sour",#N/A,FALSE,"CNTRYTYPE"}</definedName>
    <definedName name="wrn.Line._.Efficiency." localSheetId="0" hidden="1">{"Line Efficiency",#N/A,FALSE,"Benchmarking"}</definedName>
    <definedName name="wrn.Line._.Efficiency." hidden="1">{"Line Efficiency",#N/A,FALSE,"Benchmarking"}</definedName>
    <definedName name="wrn.LoanInformation." localSheetId="0" hidden="1">{#N/A,#N/A,FALSE,"LoanAssumptions"}</definedName>
    <definedName name="wrn.LoanInformation." hidden="1">{#N/A,#N/A,FALSE,"LoanAssumptions"}</definedName>
    <definedName name="wrn.m" localSheetId="0" hidden="1">{"M6Print",#N/A,FALSE,"M6";"M6_1Print",#N/A,FALSE,"M6_1";"M6_2Print",#N/A,FALSE,"M6_2"}</definedName>
    <definedName name="wrn.m" hidden="1">{"M6Print",#N/A,FALSE,"M6";"M6_1Print",#N/A,FALSE,"M6_1";"M6_2Print",#N/A,FALSE,"M6_2"}</definedName>
    <definedName name="wrn.m_cash." localSheetId="0" hidden="1">{"cash_marc",#N/A,FALSE,"dec95cr.xls"}</definedName>
    <definedName name="wrn.m_cash." hidden="1">{"cash_marc",#N/A,FALSE,"dec95cr.xls"}</definedName>
    <definedName name="wrn.M1._.Operating._.Statement." localSheetId="0" hidden="1">{"M1Print",#N/A,FALSE,"M1"}</definedName>
    <definedName name="wrn.M1._.Operating._.Statement." hidden="1">{"M1Print",#N/A,FALSE,"M1"}</definedName>
    <definedName name="wrn.M1s._.Statistics." localSheetId="0" hidden="1">{"M1sPrint",#N/A,FALSE,"M1s"}</definedName>
    <definedName name="wrn.M1s._.Statistics." hidden="1">{"M1sPrint",#N/A,FALSE,"M1s"}</definedName>
    <definedName name="wrn.M2._.Balance._.Sheet." localSheetId="0" hidden="1">{"M2Print",#N/A,FALSE,"M2"}</definedName>
    <definedName name="wrn.M2._.Balance._.Sheet." hidden="1">{"M2Print",#N/A,FALSE,"M2"}</definedName>
    <definedName name="wrn.M2a._.Cashflow." localSheetId="0" hidden="1">{"M2aPrint",#N/A,FALSE,"M2a"}</definedName>
    <definedName name="wrn.M2a._.Cashflow." hidden="1">{"M2aPrint",#N/A,FALSE,"M2a"}</definedName>
    <definedName name="wrn.M4._.Inventories." localSheetId="0" hidden="1">{"M4Print",#N/A,FALSE,"M4"}</definedName>
    <definedName name="wrn.M4._.Inventories." hidden="1">{"M4Print",#N/A,FALSE,"M4"}</definedName>
    <definedName name="wrn.M5._.Flash._.and._.Forecast." localSheetId="0" hidden="1">{"M5Print",#N/A,FALSE,"M5"}</definedName>
    <definedName name="wrn.M5._.Flash._.and._.Forecast." hidden="1">{"M5Print",#N/A,FALSE,"M5"}</definedName>
    <definedName name="wrn.M6._.Management._.Summary." localSheetId="0" hidden="1">{"M6Print",#N/A,FALSE,"M6";"M6_1Print",#N/A,FALSE,"M6_1";"M6_2Print",#N/A,FALSE,"M6_2"}</definedName>
    <definedName name="wrn.M6._.Management._.Summary." hidden="1">{"M6Print",#N/A,FALSE,"M6";"M6_1Print",#N/A,FALSE,"M6_1";"M6_2Print",#N/A,FALSE,"M6_2"}</definedName>
    <definedName name="wrn.M7._.Financial._.Controllers._.report." localSheetId="0" hidden="1">{"M7_1Print",#N/A,TRUE,"M7_1";"M7_2Print",#N/A,TRUE,"M7_2"}</definedName>
    <definedName name="wrn.M7._.Financial._.Controllers._.report." hidden="1">{"M7_1Print",#N/A,TRUE,"M7_1";"M7_2Print",#N/A,TRUE,"M7_2"}</definedName>
    <definedName name="wrn.Ma" localSheetId="0" hidden="1">{"M2aPrint",#N/A,FALSE,"M2a"}</definedName>
    <definedName name="wrn.Ma" hidden="1">{"M2aPrint",#N/A,FALSE,"M2a"}</definedName>
    <definedName name="wrn.Main._.Fields.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localSheetId="0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2.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localSheetId="0" hidden="1">{"MGMT_Adj_Excl_Mktg_1",#N/A,TRUE,"Mgmt. Adj.";"MGMT_Adj_Excl_Mktg_2",#N/A,TRUE,"Mgmt. Adj.";"MGMT_ADJ_Incl_Mktg_1",#N/A,TRUE,"Mgmt. Adj.";"MGMT_Adj_Incl_Mktg_2",#N/A,TRUE,"Mgmt. Adj."}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Report.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localSheetId="0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wrn.March._.99._.Report.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arch._1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wrn.march._1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wrn.MARGIN." localSheetId="0" hidden="1">{#N/A,#N/A,TRUE,"MAR";#N/A,#N/A,TRUE,"MAR_2"}</definedName>
    <definedName name="wrn.MARGIN." hidden="1">{#N/A,#N/A,TRUE,"MAR";#N/A,#N/A,TRUE,"MAR_2"}</definedName>
    <definedName name="wrn.mario" localSheetId="0" hidden="1">{"Area1",#N/A,TRUE,"Obiettivo";"Area2",#N/A,TRUE,"Dati per Direzione"}</definedName>
    <definedName name="wrn.mario" hidden="1">{"Area1",#N/A,TRUE,"Obiettivo";"Area2",#N/A,TRUE,"Dati per Direzione"}</definedName>
    <definedName name="wrn.Mario." localSheetId="0" hidden="1">{"Area1",#N/A,TRUE,"Obiettivo";"Area2",#N/A,TRUE,"Dati per Direzione"}</definedName>
    <definedName name="wrn.Mario." hidden="1">{"Area1",#N/A,TRUE,"Obiettivo";"Area2",#N/A,TRUE,"Dati per Direzione"}</definedName>
    <definedName name="wrn.Marketing._.Programs." localSheetId="0" hidden="1">{"Marketing",#N/A,FALSE,"Marketing Programs"}</definedName>
    <definedName name="wrn.Marketing._.Programs." hidden="1">{"Marketing",#N/A,FALSE,"Marketing Programs"}</definedName>
    <definedName name="wrn.Mason._.Deliverables.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aster.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.Full.phase3" localSheetId="0" hidden="1">{"Full Master",#N/A,FALSE,"Master"}</definedName>
    <definedName name="wrn.Master._.Full.phase3" hidden="1">{"Full Master",#N/A,FALSE,"Master"}</definedName>
    <definedName name="wrn.MATRICES._.and._.CFs." localSheetId="0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0" hidden="1">{#N/A,#N/A,FALSE,"matx B4 DS";#N/A,#N/A,FALSE,"matx B4 DS Hac";#N/A,#N/A,FALSE,"matx B4 DS Chabot";#N/A,#N/A,FALSE,"matx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AY." localSheetId="0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DA._.Tables." localSheetId="0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localSheetId="0" hidden="1">{#N/A,#N/A,FALSE,"Table 1 QTD";#N/A,#N/A,FALSE,"Table 1 YTD";#N/A,#N/A,FALSE,"Tables 2 to 4 PL";#N/A,#N/A,FALSE,"Tables 5 to 9 ALLL";#N/A,#N/A,FALSE,"Table 10 to 13 - Balance Sheet"}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localSheetId="0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localSheetId="0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localSheetId="0" hidden="1">{#N/A,#N/A,TRUE,"Sel Fn Data QTD";#N/A,#N/A,TRUE,"Table 1 YTD";#N/A,#N/A,TRUE,"Tables 2 to 4 PL";#N/A,#N/A,TRUE,"Tables 5 to 9 ALLL";#N/A,#N/A,TRUE,"Table 10 to 13 -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egaprint." localSheetId="0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o." localSheetId="0" hidden="1">{#N/A,#N/A,TRUE,"financial";#N/A,#N/A,TRUE,"plants"}</definedName>
    <definedName name="wrn.memo." hidden="1">{#N/A,#N/A,TRUE,"financial";#N/A,#N/A,TRUE,"plants"}</definedName>
    <definedName name="wrn.merge." localSheetId="0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erger.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BS._.print." localSheetId="0" hidden="1">{"merger2",#N/A,FALSE,"merger"}</definedName>
    <definedName name="wrn.merger._.BS._.print." hidden="1">{"merger2",#N/A,FALSE,"merger"}</definedName>
    <definedName name="wrn.MERGER._.PLANS.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localSheetId="0" hidden="1">{"Deal",#N/A,FALSE,"Deal";"acquiror",#N/A,FALSE,"Acquiror";"Target",#N/A,FALSE,"Target"}</definedName>
    <definedName name="wrn.MergerModel." hidden="1">{"Deal",#N/A,FALSE,"Deal";"acquiror",#N/A,FALSE,"Acquiror";"Target",#N/A,FALSE,"Target"}</definedName>
    <definedName name="wrn.mini_print." localSheetId="0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sc." localSheetId="0" hidden="1">{#N/A,#N/A,FALSE,"Sheet10"}</definedName>
    <definedName name="wrn.misc." hidden="1">{#N/A,#N/A,FALSE,"Sheet10"}</definedName>
    <definedName name="wrn.MOBIL." localSheetId="0" hidden="1">{"quarter",#N/A,FALSE,"MOB"}</definedName>
    <definedName name="wrn.MOBIL." hidden="1">{"quarter",#N/A,FALSE,"MOB"}</definedName>
    <definedName name="wrn.model." localSheetId="0" hidden="1">{"page1",#N/A,FALSE,"GIRLBO";"page2",#N/A,FALSE,"GIRLBO";"page3",#N/A,FALSE,"GIRLBO";"page4",#N/A,FALSE,"GIRLBO";"page5",#N/A,FALSE,"GIRLBO"}</definedName>
    <definedName name="wrn.model." hidden="1">{"page1",#N/A,FALSE,"GIRLBO";"page2",#N/A,FALSE,"GIRLBO";"page3",#N/A,FALSE,"GIRLBO";"page4",#N/A,FALSE,"GIRLBO";"page5",#N/A,FALSE,"GIRLBO"}</definedName>
    <definedName name="wrn.Modelprint." localSheetId="0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natsbericht." localSheetId="0" hidden="1">{#N/A,#N/A,FALSE,"Inhalta";#N/A,#N/A,FALSE,"Seite1a";#N/A,#N/A,FALSE,"Seite2a";#N/A,#N/A,FALSE,"Seite3a";#N/A,#N/A,FALSE,"Seite4a";#N/A,#N/A,FALSE,"Seite5a";#N/A,#N/A,FALSE,"Seite6a";#N/A,#N/A,FALSE,"Seite7a";#N/A,#N/A,FALSE,"Seite8a";#N/A,#N/A,FALSE,"Seite9a"}</definedName>
    <definedName name="wrn.Monatsbericht." hidden="1">{#N/A,#N/A,FALSE,"Inhalta";#N/A,#N/A,FALSE,"Seite1a";#N/A,#N/A,FALSE,"Seite2a";#N/A,#N/A,FALSE,"Seite3a";#N/A,#N/A,FALSE,"Seite4a";#N/A,#N/A,FALSE,"Seite5a";#N/A,#N/A,FALSE,"Seite6a";#N/A,#N/A,FALSE,"Seite7a";#N/A,#N/A,FALSE,"Seite8a";#N/A,#N/A,FALSE,"Seite9a"}</definedName>
    <definedName name="wrn.Month._.end._.call." localSheetId="0" hidden="1">{#N/A,#N/A,FALSE,"Bud Month-end Call";#N/A,#N/A,FALSE,"Bud vs Actual";#N/A,#N/A,FALSE,"FC3 Month-end Call";#N/A,#N/A,FALSE,"FC3 vs Actual"}</definedName>
    <definedName name="wrn.Month._.end._.call." hidden="1">{#N/A,#N/A,FALSE,"Bud Month-end Call";#N/A,#N/A,FALSE,"Bud vs Actual";#N/A,#N/A,FALSE,"FC3 Month-end Call";#N/A,#N/A,FALSE,"FC3 vs Actual"}</definedName>
    <definedName name="wrn.Month._.end._.report." localSheetId="0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._.end._.report.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_END." localSheetId="0" hidden="1">{#N/A,#N/A,FALSE,"SUMMARY";#N/A,#N/A,FALSE,"DETAIL";#N/A,#N/A,FALSE,"VARIANCE"}</definedName>
    <definedName name="wrn.MONTH_END." hidden="1">{#N/A,#N/A,FALSE,"SUMMARY";#N/A,#N/A,FALSE,"DETAIL";#N/A,#N/A,FALSE,"VARIANCE"}</definedName>
    <definedName name="wrn.MONTH_REPORT." localSheetId="0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localSheetId="0" hidden="1">{#N/A,#N/A,FALSE,"HEA_M";#N/A,#N/A,FALSE,"ALLL";#N/A,#N/A,FALSE,"DEL";#N/A,#N/A,FALSE,"Reserve Analysis";#N/A,#N/A,FALSE,"C_OFF HISTORY";#N/A,#N/A,FALSE,"ALLL_QTR"}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localSheetId="0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LY.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Data." localSheetId="0" hidden="1">{"1999 by month",#N/A,FALSE,"Total_Company"}</definedName>
    <definedName name="wrn.Monthly._.Data." hidden="1">{"1999 by month",#N/A,FALSE,"Total_Company"}</definedName>
    <definedName name="wrn.Monthly._.Financials." localSheetId="0" hidden="1">{#N/A,#N/A,FALSE,"PL OCT";#N/A,#N/A,FALSE,"YTD";#N/A,#N/A,FALSE,"Trend03";#N/A,#N/A,FALSE,"03 BalSheet";#N/A,#N/A,FALSE,"Cash Flow"}</definedName>
    <definedName name="wrn.Monthly._.Financials." hidden="1">{#N/A,#N/A,FALSE,"PL OCT";#N/A,#N/A,FALSE,"YTD";#N/A,#N/A,FALSE,"Trend03";#N/A,#N/A,FALSE,"03 BalSheet";#N/A,#N/A,FALSE,"Cash Flow"}</definedName>
    <definedName name="wrn.MONTHLY._.INVENTORY._.SCHEDULE." localSheetId="0" hidden="1">{#N/A,#N/A,FALSE,"Sheet1";#N/A,#N/A,FALSE,"Sheet2";#N/A,#N/A,FALSE,"Sheet3";#N/A,#N/A,FALSE,"Sheet4";#N/A,#N/A,FALSE,"Sheet5";#N/A,#N/A,FALSE,"Sheet6"}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Reports.Phase3" localSheetId="0" hidden="1">{"Summary Sheet",#N/A,FALSE,"vs Budget";"Fin Year 95.96",#N/A,FALSE,"Cash Flow"}</definedName>
    <definedName name="wrn.Monthly._.Reports.Phase3" hidden="1">{"Summary Sheet",#N/A,FALSE,"vs Budget";"Fin Year 95.96",#N/A,FALSE,"Cash Flow"}</definedName>
    <definedName name="wrn.Monthly._.Schedules." localSheetId="0" hidden="1">{"ConstructionSheet",#N/A,FALSE,"Construction";"EquitySheet",#N/A,FALSE,"Equity";"InterimDebtSheet",#N/A,FALSE,"Interim Debt"}</definedName>
    <definedName name="wrn.Monthly._.Schedules." hidden="1">{"ConstructionSheet",#N/A,FALSE,"Construction";"EquitySheet",#N/A,FALSE,"Equity";"InterimDebtSheet",#N/A,FALSE,"Interim Debt"}</definedName>
    <definedName name="wrn.Monthly._.Schedules.dv" localSheetId="0" hidden="1">{"ConstructionSheet",#N/A,FALSE,"Construction";"EquitySheet",#N/A,FALSE,"Equity";"InterimDebtSheet",#N/A,FALSE,"Interim Debt"}</definedName>
    <definedName name="wrn.Monthly._.Schedules.dv" hidden="1">{"ConstructionSheet",#N/A,FALSE,"Construction";"EquitySheet",#N/A,FALSE,"Equity";"InterimDebtSheet",#N/A,FALSE,"Interim Debt"}</definedName>
    <definedName name="wrn.MonthlyRentRoll." localSheetId="0" hidden="1">{"MonthlyRentRoll",#N/A,FALSE,"RentRoll"}</definedName>
    <definedName name="wrn.MonthlyRentRoll." hidden="1">{"MonthlyRentRoll",#N/A,FALSE,"RentRoll"}</definedName>
    <definedName name="wrn.Months._.1999." localSheetId="0" hidden="1">{"Monthly 1999 Stats",#N/A,FALSE,"Months";"Monthly 1999 IS",#N/A,FALSE,"Months"}</definedName>
    <definedName name="wrn.Months._.1999." hidden="1">{"Monthly 1999 Stats",#N/A,FALSE,"Months";"Monthly 1999 IS",#N/A,FALSE,"Months"}</definedName>
    <definedName name="wrn.Months._.2000." localSheetId="0" hidden="1">{"Monthly 2000 Stats",#N/A,FALSE,"Months";"Monthly 2000 IS",#N/A,FALSE,"Months"}</definedName>
    <definedName name="wrn.Months._.2000." hidden="1">{"Monthly 2000 Stats",#N/A,FALSE,"Months";"Monthly 2000 IS",#N/A,FALSE,"Months"}</definedName>
    <definedName name="wrn.Months._.2001." localSheetId="0" hidden="1">{"Monthly 2001 Stats",#N/A,FALSE,"Months";"Monthly 2001 IS",#N/A,FALSE,"Months"}</definedName>
    <definedName name="wrn.Months._.2001." hidden="1">{"Monthly 2001 Stats",#N/A,FALSE,"Months";"Monthly 2001 IS",#N/A,FALSE,"Months"}</definedName>
    <definedName name="wrn.Months._.2002." localSheetId="0" hidden="1">{"Monthly 2002 Stats",#N/A,FALSE,"Months";"Monthly 2002 IS",#N/A,FALSE,"Months"}</definedName>
    <definedName name="wrn.Months._.2002." hidden="1">{"Monthly 2002 Stats",#N/A,FALSE,"Months";"Monthly 2002 IS",#N/A,FALSE,"Months"}</definedName>
    <definedName name="wrn.Months._.2003." localSheetId="0" hidden="1">{"Monthly 2003 Stats",#N/A,FALSE,"Months";"Monthly 2003 IS",#N/A,FALSE,"Months"}</definedName>
    <definedName name="wrn.Months._.2003." hidden="1">{"Monthly 2003 Stats",#N/A,FALSE,"Months";"Monthly 2003 IS",#N/A,FALSE,"Months"}</definedName>
    <definedName name="wrn.Mortgage." localSheetId="0" hidden="1">{#N/A,#N/A,FALSE,"COVER";#N/A,#N/A,FALSE,"Index";#N/A,#N/A,FALSE,"Non-Earning";#N/A,#N/A,FALSE,"Mortgage_Legal";#N/A,#N/A,FALSE,"Mortgages"}</definedName>
    <definedName name="wrn.Mortgage." hidden="1">{#N/A,#N/A,FALSE,"COVER";#N/A,#N/A,FALSE,"Index";#N/A,#N/A,FALSE,"Non-Earning";#N/A,#N/A,FALSE,"Mortgage_Legal";#N/A,#N/A,FALSE,"Mortgages"}</definedName>
    <definedName name="wrn.mrktsamp." localSheetId="0" hidden="1">{#N/A,#N/A,FALSE,"GPM";#N/A,#N/A,FALSE,"CE";#N/A,#N/A,FALSE,"Heat";#N/A,#N/A,FALSE,"ResTm";#N/A,#N/A,FALSE,"BLEND$"}</definedName>
    <definedName name="wrn.mrktsamp." hidden="1">{#N/A,#N/A,FALSE,"GPM";#N/A,#N/A,FALSE,"CE";#N/A,#N/A,FALSE,"Heat";#N/A,#N/A,FALSE,"ResTm";#N/A,#N/A,FALSE,"BLEND$"}</definedName>
    <definedName name="wrn.MSVCIII._.Inc.." localSheetId="0" hidden="1">{#N/A,#N/A,FALSE,"TB";#N/A,#N/A,FALSE,"Incstmt";#N/A,#N/A,FALSE,"InvLead";#N/A,#N/A,FALSE,"ICREC";#N/A,#N/A,FALSE,"PICLead";#N/A,#N/A,FALSE,"RELead";#N/A,#N/A,FALSE,"EarnLead";#N/A,#N/A,FALSE,"MFLead"}</definedName>
    <definedName name="wrn.MSVCIII._.Inc.." hidden="1">{#N/A,#N/A,FALSE,"TB";#N/A,#N/A,FALSE,"Incstmt";#N/A,#N/A,FALSE,"InvLead";#N/A,#N/A,FALSE,"ICREC";#N/A,#N/A,FALSE,"PICLead";#N/A,#N/A,FALSE,"RELead";#N/A,#N/A,FALSE,"EarnLead";#N/A,#N/A,FALSE,"MFLead"}</definedName>
    <definedName name="wrn.MTD._.CON._.VS._.BUDG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TT._.VS._.BUD." localSheetId="0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VS._.BUD." localSheetId="0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unsell.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_.Model._.T._.and._.B." localSheetId="0" hidden="1">{"NA Top",#N/A,FALSE,"NA Model";"NA Bottom",#N/A,FALSE,"NA Model"}</definedName>
    <definedName name="wrn.NA._.Model._.T._.and._.B." hidden="1">{"NA Top",#N/A,FALSE,"NA Model";"NA Bottom",#N/A,FALSE,"NA Model"}</definedName>
    <definedName name="wrn.NA_ULV._.Tand._.B." localSheetId="0" hidden="1">{"NA Top",#N/A,FALSE,"NA-ULV";"NA Bottom",#N/A,FALSE,"NA-ULV"}</definedName>
    <definedName name="wrn.NA_ULV._.Tand._.B." hidden="1">{"NA Top",#N/A,FALSE,"NA-ULV";"NA Bottom",#N/A,FALSE,"NA-ULV"}</definedName>
    <definedName name="wrn.NCPC." localSheetId="0" hidden="1">{"_811",#N/A,FALSE,"NCPC Expenses";"_813",#N/A,FALSE,"NCPC Expenses";"_814",#N/A,FALSE,"NCPC Expenses"}</definedName>
    <definedName name="wrn.NCPC." hidden="1">{"_811",#N/A,FALSE,"NCPC Expenses";"_813",#N/A,FALSE,"NCPC Expenses";"_814",#N/A,FALSE,"NCPC Expenses"}</definedName>
    <definedName name="wrn.Net._.Backs." localSheetId="0" hidden="1">{"Net Backs",#N/A,FALSE,"Net Backs"}</definedName>
    <definedName name="wrn.Net._.Backs." hidden="1">{"Net Backs",#N/A,FALSE,"Net Backs"}</definedName>
    <definedName name="wrn.net96PTC1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t96PTC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tbacks." localSheetId="0" hidden="1">{"Netbacks",#N/A,FALSE,"B"}</definedName>
    <definedName name="wrn.Netbacks." hidden="1">{"Netbacks",#N/A,FALSE,"B"}</definedName>
    <definedName name="wrn.new." localSheetId="0" hidden="1">{"new1",#N/A,FALSE,"FLEXPAC2";"new2",#N/A,FALSE,"FLEXPAC2"}</definedName>
    <definedName name="wrn.New." hidden="1">{"Con. New Accts",#N/A,FALSE,"NEW ACCOUNTS BUDGET";"Zel. New Accts",#N/A,FALSE,"NEW ACCOUNTS BUDGET";"Bay New Accts",#N/A,FALSE,"NEW ACCOUNTS BUDGET"}</definedName>
    <definedName name="wrn.New._.NAV." localSheetId="0" hidden="1">{"New NAV",#N/A,FALSE,"New NAV"}</definedName>
    <definedName name="wrn.New._.NAV." hidden="1">{"New NAV",#N/A,FALSE,"New NAV"}</definedName>
    <definedName name="wrn.New._.York." localSheetId="0" hidden="1">{"NY PRICES",#N/A,FALSE,"CURRENT";"NY PRICES B",#N/A,FALSE,"CURRENT";"NY PRICES",#N/A,FALSE,"CONSTANT";"NY PRICES B",#N/A,FALSE,"CONSTANT"}</definedName>
    <definedName name="wrn.New._.York." hidden="1">{"NY PRICES",#N/A,FALSE,"CURRENT";"NY PRICES B",#N/A,FALSE,"CURRENT";"NY PRICES",#N/A,FALSE,"CONSTANT";"NY PRICES B",#N/A,FALSE,"CONSTANT"}</definedName>
    <definedName name="wrn.new96FS.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1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DEV." localSheetId="0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st." localSheetId="0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newEUR." localSheetId="0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Fund1." localSheetId="0" hidden="1">{#N/A,#N/A,FALSE,"VCF2Comps";#N/A,#N/A,FALSE,"fd2gains";#N/A,#N/A,FALSE,"10%vcf2";#N/A,#N/A,FALSE,"20%vcf2";#N/A,#N/A,FALSE,"30%vcf2";#N/A,#N/A,FALSE,"40%vcf2";#N/A,#N/A,FALSE,"10%irr2";#N/A,#N/A,FALSE,"20%irrF2";#N/A,#N/A,FALSE,"30%irr2";#N/A,#N/A,FALSE,"40%irr2";#N/A,#N/A,FALSE,"ProformaSum";#N/A,#N/A,FALSE,"10%ms";#N/A,#N/A,FALSE,"20%ms";#N/A,#N/A,FALSE,"30%ms";#N/A,#N/A,FALSE,"40%ms";#N/A,#N/A,FALSE,"10%msirr";#N/A,#N/A,FALSE,"20%msirr";#N/A,#N/A,FALSE,"30%msirr";#N/A,#N/A,FALSE,"40%msirr";#N/A,#N/A,FALSE,"5yrsumVCactual"}</definedName>
    <definedName name="wrn.NewFund1." hidden="1">{#N/A,#N/A,FALSE,"VCF2Comps";#N/A,#N/A,FALSE,"fd2gains";#N/A,#N/A,FALSE,"10%vcf2";#N/A,#N/A,FALSE,"20%vcf2";#N/A,#N/A,FALSE,"30%vcf2";#N/A,#N/A,FALSE,"40%vcf2";#N/A,#N/A,FALSE,"10%irr2";#N/A,#N/A,FALSE,"20%irrF2";#N/A,#N/A,FALSE,"30%irr2";#N/A,#N/A,FALSE,"40%irr2";#N/A,#N/A,FALSE,"ProformaSum";#N/A,#N/A,FALSE,"10%ms";#N/A,#N/A,FALSE,"20%ms";#N/A,#N/A,FALSE,"30%ms";#N/A,#N/A,FALSE,"40%ms";#N/A,#N/A,FALSE,"10%msirr";#N/A,#N/A,FALSE,"20%msirr";#N/A,#N/A,FALSE,"30%msirr";#N/A,#N/A,FALSE,"40%msirr";#N/A,#N/A,FALSE,"5yrsumVCactual"}</definedName>
    <definedName name="wrn.Nico." localSheetId="0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NJ." localSheetId="0" hidden="1">{"Volume",#N/A,FALSE,"Nanjing";"capacity",#N/A,FALSE,"Nanjing"}</definedName>
    <definedName name="wrn.NJ." hidden="1">{"Volume",#N/A,FALSE,"Nanjing";"capacity",#N/A,FALSE,"Nanjing"}</definedName>
    <definedName name="wrn.Normal." localSheetId="0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th._.America._.Set." localSheetId="0" hidden="1">{"NA Is w Ratios",#N/A,FALSE,"North America";"PF CFlow NA",#N/A,FALSE,"North America";"NA DCF Matrix",#N/A,FALSE,"North America"}</definedName>
    <definedName name="wrn.North._.America._.Set." hidden="1">{"NA Is w Ratios",#N/A,FALSE,"North America";"PF CFlow NA",#N/A,FALSE,"North America";"NA DCF Matrix",#N/A,FALSE,"North America"}</definedName>
    <definedName name="wrn.notcomplete" localSheetId="0" hidden="1">{#N/A,#N/A,FALSE,"SMT1";#N/A,#N/A,FALSE,"SMT2";#N/A,#N/A,FALSE,"Summary";#N/A,#N/A,FALSE,"Graphs";#N/A,#N/A,FALSE,"4 Panel"}</definedName>
    <definedName name="wrn.notcomplete" hidden="1">{#N/A,#N/A,FALSE,"SMT1";#N/A,#N/A,FALSE,"SMT2";#N/A,#N/A,FALSE,"Summary";#N/A,#N/A,FALSE,"Graphs";#N/A,#N/A,FALSE,"4 Panel"}</definedName>
    <definedName name="wrn.November." localSheetId="0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OCTOBER." localSheetId="0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ering." localSheetId="0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." localSheetId="0" hidden="1">{#N/A,#N/A,FALSE,"OffAdvance";#N/A,#N/A,FALSE,"OffExpRprt";#N/A,#N/A,FALSE,"Travelling";#N/A,#N/A,FALSE,"Entertmnt";#N/A,#N/A,FALSE,"Promotion"}</definedName>
    <definedName name="wrn.Office." hidden="1">{#N/A,#N/A,FALSE,"OffAdvance";#N/A,#N/A,FALSE,"OffExpRprt";#N/A,#N/A,FALSE,"Travelling";#N/A,#N/A,FALSE,"Entertmnt";#N/A,#N/A,FALSE,"Promotion"}</definedName>
    <definedName name="wrn.Office._1" localSheetId="0" hidden="1">{#N/A,#N/A,FALSE,"OffAdvance";#N/A,#N/A,FALSE,"OffExpRprt";#N/A,#N/A,FALSE,"Travelling";#N/A,#N/A,FALSE,"Entertmnt";#N/A,#N/A,FALSE,"Promotion"}</definedName>
    <definedName name="wrn.Office._1" hidden="1">{#N/A,#N/A,FALSE,"OffAdvance";#N/A,#N/A,FALSE,"OffExpRprt";#N/A,#N/A,FALSE,"Travelling";#N/A,#N/A,FALSE,"Entertmnt";#N/A,#N/A,FALSE,"Promotion"}</definedName>
    <definedName name="wrn.Offshore._.FS." localSheetId="0" hidden="1">{#N/A,#N/A,FALSE,"Fin'l Stmts";#N/A,#N/A,FALSE,"Inc Alloc";#N/A,#N/A,FALSE,"PCA";#N/A,#N/A,FALSE,"Acct. Pay";#N/A,#N/A,FALSE,"Expense";#N/A,#N/A,FALSE,"Mgt Fee";#N/A,#N/A,FALSE,"Org Exp";#N/A,#N/A,FALSE,"NV INTEREST"}</definedName>
    <definedName name="wrn.Offshore._.FS." hidden="1">{#N/A,#N/A,FALSE,"Fin'l Stmts";#N/A,#N/A,FALSE,"Inc Alloc";#N/A,#N/A,FALSE,"PCA";#N/A,#N/A,FALSE,"Acct. Pay";#N/A,#N/A,FALSE,"Expense";#N/A,#N/A,FALSE,"Mgt Fee";#N/A,#N/A,FALSE,"Org Exp";#N/A,#N/A,FALSE,"NV INTEREST"}</definedName>
    <definedName name="wrn.Operating._.Models." localSheetId="0" hidden="1">{#N/A,#N/A,TRUE,"Eastern Market";#N/A,#N/A,TRUE,"Western Market";#N/A,#N/A,TRUE,"Sulphur Services";#N/A,#N/A,TRUE,"Global Business";#N/A,#N/A,TRUE,"Incremental Overhead";#N/A,#N/A,TRUE,"Acquired Business"}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erating._.Statistics." localSheetId="0" hidden="1">{"Operating Statictics",#N/A,FALSE,"Operating Statistics"}</definedName>
    <definedName name="wrn.Operating._.Statistics." hidden="1">{"Operating Statictics",#N/A,FALSE,"Operating Statistics"}</definedName>
    <definedName name="wrn.OperatingAssumtions." localSheetId="0" hidden="1">{#N/A,#N/A,FALSE,"OperatingAssumptions"}</definedName>
    <definedName name="wrn.OperatingAssumtions." hidden="1">{#N/A,#N/A,FALSE,"OperatingAssumptions"}</definedName>
    <definedName name="wrn.Operation._.Report." localSheetId="0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S." localSheetId="0" hidden="1">{#N/A,#N/A,FALSE,"PL-FS";#N/A,#N/A,FALSE,"PL"}</definedName>
    <definedName name="wrn.OPERATIONS." hidden="1">{#N/A,#N/A,FALSE,"PL-FS";#N/A,#N/A,FALSE,"PL"}</definedName>
    <definedName name="wrn.ops._.costs." localSheetId="0" hidden="1">{"page1",#N/A,FALSE,"APCI Operations Detail  ";"page2",#N/A,FALSE,"APCI Operations Detail  ";"page3",#N/A,FALSE,"APCI Operations Detail  ";"page4",#N/A,FALSE,"APCI Operations Detail  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PTIMIZATION.2." localSheetId="0" hidden="1">{#N/A,#N/A,FALSE,"Optimization,sum";#N/A,#N/A,FALSE,"Optimization,1";#N/A,#N/A,FALSE,"Optimization,2";#N/A,#N/A,FALSE,"Optimization,3";#N/A,#N/A,FALSE,"Optimization,4"}</definedName>
    <definedName name="wrn.OPTIMIZATION.2." hidden="1">{#N/A,#N/A,FALSE,"Optimization,sum";#N/A,#N/A,FALSE,"Optimization,1";#N/A,#N/A,FALSE,"Optimization,2";#N/A,#N/A,FALSE,"Optimization,3";#N/A,#N/A,FALSE,"Optimization,4"}</definedName>
    <definedName name="wrn.Other._.Foreign." localSheetId="0" hidden="1">{"Other Foreign",#N/A,FALSE,"Other For."}</definedName>
    <definedName name="wrn.Other._.Foreign." hidden="1">{"Other Foreign",#N/A,FALSE,"Other For."}</definedName>
    <definedName name="wrn.Output." localSheetId="0" hidden="1">{#N/A,#N/A,TRUE,"Title";#N/A,#N/A,TRUE,"Inputs";#N/A,#N/A,TRUE,"Impact";#N/A,#N/A,TRUE,"Sources &amp; Uses";#N/A,#N/A,TRUE,"Capitalization Impact";#N/A,#N/A,TRUE,"NEWCO Projections";#N/A,#N/A,TRUE,"Summary - ITT";#N/A,#N/A,TRUE,"Summary - Forte";#N/A,#N/A,TRUE,"Balance Sheet Adj.";#N/A,#N/A,TRUE,"Calculation Verification"}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s." localSheetId="0" hidden="1">{#N/A,#N/A,FALSE,"Outputs"}</definedName>
    <definedName name="wrn.outputs." hidden="1">{#N/A,#N/A,FALSE,"Outputs"}</definedName>
    <definedName name="wrn.Overview._.Reports." localSheetId="0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._.and._.l." localSheetId="0" hidden="1">{"bcII p and l",#N/A,FALSE,"Big Cajun II"}</definedName>
    <definedName name="wrn.p._.and._.l." hidden="1">{"bcII p and l",#N/A,FALSE,"Big Cajun II"}</definedName>
    <definedName name="wrn.Package." localSheetId="0" hidden="1">{#N/A,#N/A,FALSE,"PL NOV";#N/A,#N/A,FALSE,"Trend00";#N/A,#N/A,FALSE,"YTD";#N/A,#N/A,FALSE,"00 balSheet";#N/A,#N/A,FALSE,"Bank BalSh"}</definedName>
    <definedName name="wrn.Package." hidden="1">{#N/A,#N/A,FALSE,"PL NOV";#N/A,#N/A,FALSE,"Trend00";#N/A,#N/A,FALSE,"YTD";#N/A,#N/A,FALSE,"00 balSheet";#N/A,#N/A,FALSE,"Bank BalSh"}</definedName>
    <definedName name="wrn.packer._.1.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1cb1." localSheetId="0" hidden="1">{#N/A,#N/A,FALSE,"cb1p1"}</definedName>
    <definedName name="wrn.page1cb1." hidden="1">{#N/A,#N/A,FALSE,"cb1p1"}</definedName>
    <definedName name="wrn.Paging._.Compco." localSheetId="0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AIM._.TAX._.PRO." localSheetId="0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krs._.etc.Phase3" localSheetId="0" hidden="1">{"Summary Sheet",#N/A,FALSE,"Stock Route vs Budget";"Summary Sheet",#N/A,FALSE,"Stock Route Park vs Budget";"Summary Sheet",#N/A,FALSE,"River Park vs Budget";"Summary Sheet",#N/A,FALSE,"Central Park vs Budget";"Summary Sheet",#N/A,FALSE,"Crescent Park vs Budget";"Summary Sheet",#N/A,FALSE,"The Green vs Budget"}</definedName>
    <definedName name="wrn.Pakrs._.etc.Phase3" hidden="1">{"Summary Sheet",#N/A,FALSE,"Stock Route vs Budget";"Summary Sheet",#N/A,FALSE,"Stock Route Park vs Budget";"Summary Sheet",#N/A,FALSE,"River Park vs Budget";"Summary Sheet",#N/A,FALSE,"Central Park vs Budget";"Summary Sheet",#N/A,FALSE,"Crescent Park vs Budget";"Summary Sheet",#N/A,FALSE,"The Green vs Budget"}</definedName>
    <definedName name="wrn.Part._.1." localSheetId="0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2.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cap." localSheetId="0" hidden="1">{#N/A,#N/A,FALSE,"PCAP";#N/A,#N/A,FALSE,"CAPCOMMITMENTS";#N/A,#N/A,FALSE,"CUMINCSUM";#N/A,#N/A,FALSE,"PERCENTAGES";#N/A,#N/A,FALSE,"INCALLOCATIONS";#N/A,#N/A,FALSE,"distributions";#N/A,#N/A,FALSE,"subsequent event";#N/A,#N/A,FALSE,"dist 2"}</definedName>
    <definedName name="wrn.partcap." hidden="1">{#N/A,#N/A,FALSE,"PCAP";#N/A,#N/A,FALSE,"CAPCOMMITMENTS";#N/A,#N/A,FALSE,"CUMINCSUM";#N/A,#N/A,FALSE,"PERCENTAGES";#N/A,#N/A,FALSE,"INCALLOCATIONS";#N/A,#N/A,FALSE,"distributions";#N/A,#N/A,FALSE,"subsequent event";#N/A,#N/A,FALSE,"dist 2"}</definedName>
    <definedName name="wrn.partie1." localSheetId="0" hidden="1">{#N/A,#N/A,FALSE,"PAGE3";#N/A,#N/A,FALSE,"Pape4";#N/A,#N/A,FALSE,"Page5"}</definedName>
    <definedName name="wrn.partie1." hidden="1">{#N/A,#N/A,FALSE,"PAGE3";#N/A,#N/A,FALSE,"Pape4";#N/A,#N/A,FALSE,"Page5"}</definedName>
    <definedName name="wrn.partie2." localSheetId="0" hidden="1">{#N/A,#N/A,FALSE,"PAGE6";#N/A,#N/A,FALSE,"Page7";#N/A,#N/A,FALSE,"Page8";#N/A,#N/A,FALSE,"Page9"}</definedName>
    <definedName name="wrn.partie2." hidden="1">{#N/A,#N/A,FALSE,"PAGE6";#N/A,#N/A,FALSE,"Page7";#N/A,#N/A,FALSE,"Page8";#N/A,#N/A,FALSE,"Page9"}</definedName>
    <definedName name="wrn.partie3." localSheetId="0" hidden="1">{#N/A,#N/A,FALSE,"PAGE10";#N/A,#N/A,FALSE,"Page11";#N/A,#N/A,FALSE,"page12";#N/A,#N/A,FALSE,"page13"}</definedName>
    <definedName name="wrn.partie3." hidden="1">{#N/A,#N/A,FALSE,"PAGE10";#N/A,#N/A,FALSE,"Page11";#N/A,#N/A,FALSE,"page12";#N/A,#N/A,FALSE,"page13"}</definedName>
    <definedName name="wrn.partie4." localSheetId="0" hidden="1">{#N/A,#N/A,FALSE,"PAGE14";#N/A,#N/A,FALSE,"Page15";#N/A,#N/A,FALSE,"Page16";#N/A,#N/A,FALSE,"Page17";#N/A,#N/A,FALSE,"Page18";#N/A,#N/A,FALSE,"Page19";#N/A,#N/A,FALSE,"Page20"}</definedName>
    <definedName name="wrn.partie4." hidden="1">{#N/A,#N/A,FALSE,"PAGE14";#N/A,#N/A,FALSE,"Page15";#N/A,#N/A,FALSE,"Page16";#N/A,#N/A,FALSE,"Page17";#N/A,#N/A,FALSE,"Page18";#N/A,#N/A,FALSE,"Page19";#N/A,#N/A,FALSE,"Page20"}</definedName>
    <definedName name="wrn.partie5." localSheetId="0" hidden="1">{#N/A,#N/A,FALSE,"PAGE21";#N/A,#N/A,FALSE,"Page22à25";#N/A,#N/A,FALSE,"Page26";#N/A,#N/A,FALSE,"Page27";#N/A,#N/A,FALSE,"Page28";#N/A,#N/A,FALSE,"Page29";#N/A,#N/A,FALSE,"Page30"}</definedName>
    <definedName name="wrn.partie5." hidden="1">{#N/A,#N/A,FALSE,"PAGE21";#N/A,#N/A,FALSE,"Page22à25";#N/A,#N/A,FALSE,"Page26";#N/A,#N/A,FALSE,"Page27";#N/A,#N/A,FALSE,"Page28";#N/A,#N/A,FALSE,"Page29";#N/A,#N/A,FALSE,"Page30"}</definedName>
    <definedName name="wrn.partie6." localSheetId="0" hidden="1">{#N/A,#N/A,FALSE,"PAGE31";#N/A,#N/A,FALSE,"Page32à34"}</definedName>
    <definedName name="wrn.partie6." hidden="1">{#N/A,#N/A,FALSE,"PAGE31";#N/A,#N/A,FALSE,"Page32à34"}</definedName>
    <definedName name="wrn.partie7." localSheetId="0" hidden="1">{#N/A,#N/A,FALSE,"PAGE35";#N/A,#N/A,FALSE,"POUCPG97"}</definedName>
    <definedName name="wrn.partie7." hidden="1">{#N/A,#N/A,FALSE,"PAGE35";#N/A,#N/A,FALSE,"POUCPG97"}</definedName>
    <definedName name="wrn.Partner._.Distributions." localSheetId="0" hidden="1">{#N/A,#N/A,FALSE,"MSVC II Inc.";#N/A,#N/A,FALSE,"Guy Chazel";#N/A,#N/A,FALSE,"W. Harding";#N/A,#N/A,FALSE,"S. Halsted";#N/A,#N/A,FALSE,"F. Husain";#N/A,#N/A,FALSE,"J. Norrod";#N/A,#N/A,FALSE,"J. Booth";#N/A,#N/A,FALSE,"D. Abramovitz";#N/A,#N/A,FALSE,"A. Cooper";#N/A,#N/A,FALSE,"R. Loarie"}</definedName>
    <definedName name="wrn.Partner._.Distributions." hidden="1">{#N/A,#N/A,FALSE,"MSVC II Inc.";#N/A,#N/A,FALSE,"Guy Chazel";#N/A,#N/A,FALSE,"W. Harding";#N/A,#N/A,FALSE,"S. Halsted";#N/A,#N/A,FALSE,"F. Husain";#N/A,#N/A,FALSE,"J. Norrod";#N/A,#N/A,FALSE,"J. Booth";#N/A,#N/A,FALSE,"D. Abramovitz";#N/A,#N/A,FALSE,"A. Cooper";#N/A,#N/A,FALSE,"R. Loarie"}</definedName>
    <definedName name="wrn.PARTNERS._.CAPITAL._.STMT." localSheetId="0" hidden="1">{"PARTNERS CAPITAL STMT",#N/A,FALSE,"Partners Capital"}</definedName>
    <definedName name="wrn.PARTNERS._.CAPITAL._.STMT." hidden="1">{"PARTNERS CAPITAL STMT",#N/A,FALSE,"Partners Capital"}</definedName>
    <definedName name="wrn.PARTNERSHIP." localSheetId="0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CI._.EMAIL." localSheetId="0" hidden="1">{#N/A,#N/A,FALSE,"CONFIGURATION";#N/A,#N/A,FALSE,"CALC TOOLS-PARTS"}</definedName>
    <definedName name="wrn.PCI._.EMAIL." hidden="1">{#N/A,#N/A,FALSE,"CONFIGURATION";#N/A,#N/A,FALSE,"CALC TOOLS-PARTS"}</definedName>
    <definedName name="wrn.PDGSOM." localSheetId="0" hidden="1">{#N/A,#N/A,FALSE,"pdgarde";#N/A,#N/A,FALSE,"somm (3)"}</definedName>
    <definedName name="wrn.PDGSOM." hidden="1">{#N/A,#N/A,FALSE,"pdgarde";#N/A,#N/A,FALSE,"somm (3)"}</definedName>
    <definedName name="wrn.Period._.Summary." localSheetId="0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SONNEL." localSheetId="0" hidden="1">{"FORM16",#N/A,TRUE,"Personnel1";"FORM16.2",#N/A,TRUE,"Personnel2";"FORM16.2",#N/A,TRUE,"Personnel3";"FORM16.3",#N/A,TRUE,"Personnel4";"FORM16.4",#N/A,TRUE,"Personnel5"}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HASE._.Financials.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n.PHASE._.Financials.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n.pl" localSheetId="0" hidden="1">{#N/A,#N/A,FALSE,"Exhibits 5-7"}</definedName>
    <definedName name="wrn.pl" hidden="1">{#N/A,#N/A,FALSE,"Exhibits 5-7"}</definedName>
    <definedName name="wrn.pl." localSheetId="0" hidden="1">{#N/A,#N/A,FALSE,"Exhibits 5-7"}</definedName>
    <definedName name="wrn.pl." hidden="1">{#N/A,#N/A,FALSE,"Exhibits 5-7"}</definedName>
    <definedName name="wrn.PL_SCHEDULE." localSheetId="0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_SCHEDULE.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1._.print." localSheetId="0" hidden="1">{"PL11",#N/A,FALSE,"input"}</definedName>
    <definedName name="wrn.PL1._.print." hidden="1">{"PL11",#N/A,FALSE,"input"}</definedName>
    <definedName name="wrn.Planilhas." localSheetId="0" hidden="1">{"Presentation","Presentation",FALSE,"3 COT"}</definedName>
    <definedName name="wrn.Planilhas." hidden="1">{"Presentation","Presentation",FALSE,"3 COT"}</definedName>
    <definedName name="wrn.Planung_Ebeling.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rn.Planung_Ebeling.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rn.plbscf." localSheetId="0" hidden="1">{"p_l",#N/A,FALSE,"Summary Accounts"}</definedName>
    <definedName name="wrn.plbscf." hidden="1">{"p_l",#N/A,FALSE,"Summary Accounts"}</definedName>
    <definedName name="wrn.PLFORECAST." localSheetId="0" hidden="1">{"CY",#N/A,FALSE,"FORECAST";"PAYROLL",#N/A,FALSE,"FORECAST";"REC",#N/A,FALSE,"FORECAST";"SALES",#N/A,FALSE,"FORECAST"}</definedName>
    <definedName name="wrn.PLFORECAST." hidden="1">{"CY",#N/A,FALSE,"FORECAST";"PAYROLL",#N/A,FALSE,"FORECAST";"REC",#N/A,FALSE,"FORECAST";"SALES",#N/A,FALSE,"FORECAST"}</definedName>
    <definedName name="wrn.PLX.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op" localSheetId="0" hidden="1">{"Pulp Production",#N/A,FALSE,"Pulp";"Pulp Earnings",#N/A,FALSE,"Pulp"}</definedName>
    <definedName name="wrn.poop" hidden="1">{"Pulp Production",#N/A,FALSE,"Pulp";"Pulp Earnings",#N/A,FALSE,"Pulp"}</definedName>
    <definedName name="wrn.Portrait._.IS." localSheetId="0" hidden="1">{"Portrait letter is",#N/A,FALSE,"Model"}</definedName>
    <definedName name="wrn.Portrait._.IS." hidden="1">{"Portrait letter is",#N/A,FALSE,"Model"}</definedName>
    <definedName name="wrn.Portrait._.letter._.is." localSheetId="0" hidden="1">{"portrait letter is",#N/A,FALSE,"Model"}</definedName>
    <definedName name="wrn.Portrait._.letter._.is." hidden="1">{"portrait letter is",#N/A,FALSE,"Model"}</definedName>
    <definedName name="wrn.Post._.Tax." localSheetId="0" hidden="1">{#N/A,#N/A,FALSE,"timeval";#N/A,#N/A,FALSE,"Sens";#N/A,#N/A,FALSE,"Amortisation";#N/A,#N/A,FALSE,"Profit &amp; Loss";#N/A,#N/A,FALSE,"Fin Cashflow"}</definedName>
    <definedName name="wrn.Post._.Tax." hidden="1">{#N/A,#N/A,FALSE,"timeval";#N/A,#N/A,FALSE,"Sens";#N/A,#N/A,FALSE,"Amortisation";#N/A,#N/A,FALSE,"Profit &amp; Loss";#N/A,#N/A,FALSE,"Fin Cashflow"}</definedName>
    <definedName name="wrn.PR_TRIAL_BALANCE.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S_OUT." localSheetId="0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imary._.Reports." localSheetId="0" hidden="1">{#N/A,#N/A,FALSE,"Plan Summary";#N/A,#N/A,FALSE,"Monthly Goals";#N/A,#N/A,FALSE,"Profit Detail";#N/A,#N/A,FALSE,"Output Comparison";#N/A,#N/A,FALSE,"Production Goals"}</definedName>
    <definedName name="wrn.Primary._.Reports." hidden="1">{#N/A,#N/A,FALSE,"Plan Summary";#N/A,#N/A,FALSE,"Monthly Goals";#N/A,#N/A,FALSE,"Profit Detail";#N/A,#N/A,FALSE,"Output Comparison";#N/A,#N/A,FALSE,"Production Goals"}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0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5._.and._.12." localSheetId="0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5._.and._.12.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" localSheetId="0" hidden="1">{"Summary Info",#N/A,TRUE,"Summary";"Project Assumptions",#N/A,TRUE,"Summary";"Development Program",#N/A,TRUE,"Summary";"Timeline",#N/A,TRUE,"Timeline";"Acq Costs",#N/A,TRUE,"Ent &amp; Infr";"Entitlement Costs",#N/A,TRUE,"Ent &amp; Infr";"Infrastructure Costs",#N/A,TRUE,"Ent &amp; Infr";"Infrastructure Costs 2",#N/A,TRUE,"Ent &amp; Infr";"Total CF Yr1&amp;2",#N/A,TRUE,"Summary";"Total CF Yr3",#N/A,TRUE,"Summary";"Total CF Yr4",#N/A,TRUE,"Summary";"Total CF Yr5",#N/A,TRUE,"Summary";"Total CF Yr6",#N/A,TRUE,"Summary";"Total CF Yr7",#N/A,TRUE,"Summary";"Total CF Yr8",#N/A,TRUE,"Summary";"Total CF Yr9",#N/A,TRUE,"Summary";"Total CF Yr10",#N/A,TRUE,"Summary";"Racetrack Summary",#N/A,TRUE,"Racetrack Summary";"Res Summary",#N/A,TRUE,"Residential";"Res DevBudget",#N/A,TRUE,"Residential";"Res CF Yr1&amp;2",#N/A,TRUE,"Residential";"Res CF Yr3",#N/A,TRUE,"Residential";"Res CF Yr4",#N/A,TRUE,"Residential";"Res CF Yr5",#N/A,TRUE,"Residential";"Res CF Yr6",#N/A,TRUE,"Residential";"Res CF Yr7",#N/A,TRUE,"Residential";"Res CF Yr8",#N/A,TRUE,"Residential";"Res CF Yr9",#N/A,TRUE,"Residential";"Res Detailed Yr1&amp;2",#N/A,TRUE,"Residential";"Res Detailed Yr3",#N/A,TRUE,"Residential";"Res Detailed Yr4",#N/A,TRUE,"Residential";"Res Detailed Yr5",#N/A,TRUE,"Residential";"Res Detailed Yr6",#N/A,TRUE,"Residential";"Res Detailed Yr7",#N/A,TRUE,"Residential";"Res Detailed Yr8",#N/A,TRUE,"Residential";"Res Detailed Yr9",#N/A,TRUE,"Residential";"Res D&amp;S Yr1&amp;2",#N/A,TRUE,"Residential";"Res D&amp;S Yr3",#N/A,TRUE,"Residential";"Res D&amp;S Yr4",#N/A,TRUE,"Residential";"Res D&amp;S Yr5",#N/A,TRUE,"Residential";"Res D&amp;S Yr6",#N/A,TRUE,"Residential";"Res D&amp;S Yr7",#N/A,TRUE,"Residential";"Res D&amp;S Yr8",#N/A,TRUE,"Residential";"Res D&amp;S Yr9",#N/A,TRUE,"Residential";"Retail Summary",#N/A,TRUE,"Retail";"Retail Budget",#N/A,TRUE,"Retail";"Retail CF Yr1&amp;2",#N/A,TRUE,"Retail";"Retail CF Yr3",#N/A,TRUE,"Retail";"Retail CF Yr4",#N/A,TRUE,"Retail";"Retail CF Yr5",#N/A,TRUE,"Retail";"Retail CF Yr6",#N/A,TRUE,"Retail";"Retail CF Yr7",#N/A,TRUE,"Retail";"Retail CF Yr8",#N/A,TRUE,"Retail";"Retail Detailed Yr1&amp;2",#N/A,TRUE,"Retail";"Retail Detailed Yr3",#N/A,TRUE,"Retail";"Retail Detailed Yr4",#N/A,TRUE,"Retail";"Retail Detailed Yr5",#N/A,TRUE,"Retail";"Retail Detailed Yr6",#N/A,TRUE,"Retail";"Retail Detailed Yr7",#N/A,TRUE,"Retail";"Retail Detailed Yr8",#N/A,TRUE,"Retail";"Retail D&amp;S Yr1&amp;2",#N/A,TRUE,"Retail";"Retail D&amp;S Yr3",#N/A,TRUE,"Retail";"Retail D&amp;S Yr4",#N/A,TRUE,"Retail";"Retail D&amp;S Yr5",#N/A,TRUE,"Retail";"Retail D&amp;S Yr6",#N/A,TRUE,"Retail";"Retail D&amp;S Yr7",#N/A,TRUE,"Retail";"Retail D&amp;S Yr8",#N/A,TRUE,"Retail";"Hotel Yr1&amp;2",#N/A,TRUE,"Hotel";"Hotel Yr3",#N/A,TRUE,"Hotel";"Hotel Yr4",#N/A,TRUE,"Hotel";"Hotel Yr5",#N/A,TRUE,"Hotel";"CFD Yr1&amp;2",#N/A,TRUE,"CFD";"CFD Yr3",#N/A,TRUE,"CFD";"CFD Yr4",#N/A,TRUE,"CFD";"CFD Yr5",#N/A,TRUE,"CFD";"CFD Yr6",#N/A,TRUE,"CFD";"CFD Yr7",#N/A,TRUE,"CFD";"CFD Yr8",#N/A,TRUE,"CFD";"CFD Yr9",#N/A,TRUE,"CFD"}</definedName>
    <definedName name="wrn.Print._.All." hidden="1">{"Summary Info",#N/A,TRUE,"Summary";"Project Assumptions",#N/A,TRUE,"Summary";"Development Program",#N/A,TRUE,"Summary";"Timeline",#N/A,TRUE,"Timeline";"Acq Costs",#N/A,TRUE,"Ent &amp; Infr";"Entitlement Costs",#N/A,TRUE,"Ent &amp; Infr";"Infrastructure Costs",#N/A,TRUE,"Ent &amp; Infr";"Infrastructure Costs 2",#N/A,TRUE,"Ent &amp; Infr";"Total CF Yr1&amp;2",#N/A,TRUE,"Summary";"Total CF Yr3",#N/A,TRUE,"Summary";"Total CF Yr4",#N/A,TRUE,"Summary";"Total CF Yr5",#N/A,TRUE,"Summary";"Total CF Yr6",#N/A,TRUE,"Summary";"Total CF Yr7",#N/A,TRUE,"Summary";"Total CF Yr8",#N/A,TRUE,"Summary";"Total CF Yr9",#N/A,TRUE,"Summary";"Total CF Yr10",#N/A,TRUE,"Summary";"Racetrack Summary",#N/A,TRUE,"Racetrack Summary";"Res Summary",#N/A,TRUE,"Residential";"Res DevBudget",#N/A,TRUE,"Residential";"Res CF Yr1&amp;2",#N/A,TRUE,"Residential";"Res CF Yr3",#N/A,TRUE,"Residential";"Res CF Yr4",#N/A,TRUE,"Residential";"Res CF Yr5",#N/A,TRUE,"Residential";"Res CF Yr6",#N/A,TRUE,"Residential";"Res CF Yr7",#N/A,TRUE,"Residential";"Res CF Yr8",#N/A,TRUE,"Residential";"Res CF Yr9",#N/A,TRUE,"Residential";"Res Detailed Yr1&amp;2",#N/A,TRUE,"Residential";"Res Detailed Yr3",#N/A,TRUE,"Residential";"Res Detailed Yr4",#N/A,TRUE,"Residential";"Res Detailed Yr5",#N/A,TRUE,"Residential";"Res Detailed Yr6",#N/A,TRUE,"Residential";"Res Detailed Yr7",#N/A,TRUE,"Residential";"Res Detailed Yr8",#N/A,TRUE,"Residential";"Res Detailed Yr9",#N/A,TRUE,"Residential";"Res D&amp;S Yr1&amp;2",#N/A,TRUE,"Residential";"Res D&amp;S Yr3",#N/A,TRUE,"Residential";"Res D&amp;S Yr4",#N/A,TRUE,"Residential";"Res D&amp;S Yr5",#N/A,TRUE,"Residential";"Res D&amp;S Yr6",#N/A,TRUE,"Residential";"Res D&amp;S Yr7",#N/A,TRUE,"Residential";"Res D&amp;S Yr8",#N/A,TRUE,"Residential";"Res D&amp;S Yr9",#N/A,TRUE,"Residential";"Retail Summary",#N/A,TRUE,"Retail";"Retail Budget",#N/A,TRUE,"Retail";"Retail CF Yr1&amp;2",#N/A,TRUE,"Retail";"Retail CF Yr3",#N/A,TRUE,"Retail";"Retail CF Yr4",#N/A,TRUE,"Retail";"Retail CF Yr5",#N/A,TRUE,"Retail";"Retail CF Yr6",#N/A,TRUE,"Retail";"Retail CF Yr7",#N/A,TRUE,"Retail";"Retail CF Yr8",#N/A,TRUE,"Retail";"Retail Detailed Yr1&amp;2",#N/A,TRUE,"Retail";"Retail Detailed Yr3",#N/A,TRUE,"Retail";"Retail Detailed Yr4",#N/A,TRUE,"Retail";"Retail Detailed Yr5",#N/A,TRUE,"Retail";"Retail Detailed Yr6",#N/A,TRUE,"Retail";"Retail Detailed Yr7",#N/A,TRUE,"Retail";"Retail Detailed Yr8",#N/A,TRUE,"Retail";"Retail D&amp;S Yr1&amp;2",#N/A,TRUE,"Retail";"Retail D&amp;S Yr3",#N/A,TRUE,"Retail";"Retail D&amp;S Yr4",#N/A,TRUE,"Retail";"Retail D&amp;S Yr5",#N/A,TRUE,"Retail";"Retail D&amp;S Yr6",#N/A,TRUE,"Retail";"Retail D&amp;S Yr7",#N/A,TRUE,"Retail";"Retail D&amp;S Yr8",#N/A,TRUE,"Retail";"Hotel Yr1&amp;2",#N/A,TRUE,"Hotel";"Hotel Yr3",#N/A,TRUE,"Hotel";"Hotel Yr4",#N/A,TRUE,"Hotel";"Hotel Yr5",#N/A,TRUE,"Hotel";"CFD Yr1&amp;2",#N/A,TRUE,"CFD";"CFD Yr3",#N/A,TRUE,"CFD";"CFD Yr4",#N/A,TRUE,"CFD";"CFD Yr5",#N/A,TRUE,"CFD";"CFD Yr6",#N/A,TRUE,"CFD";"CFD Yr7",#N/A,TRUE,"CFD";"CFD Yr8",#N/A,TRUE,"CFD";"CFD Yr9",#N/A,TRUE,"CFD"}</definedName>
    <definedName name="wrn.Print._.All._.Output." localSheetId="0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localSheetId="0" hidden="1">{"summary",#N/A,FALSE,"Valuation Analysis";"assumptions1",#N/A,FALSE,"Valuation Analysis";"assumptions2",#N/A,FALSE,"Valuation Analysis"}</definedName>
    <definedName name="wrn.print._.all._.sheets." hidden="1">{"summary",#N/A,FALSE,"Valuation Analysis";"assumptions1",#N/A,FALSE,"Valuation Analysis";"assumptions2",#N/A,FALSE,"Valuation Analysis"}</definedName>
    <definedName name="wrn.Print._.All._.Worksheets." localSheetId="0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nalyst._.Comparison." localSheetId="0" hidden="1">{"comp_bob1",#N/A,FALSE,"Analyst Comparison";"comp_linnea1",#N/A,FALSE,"Analyst Comparison"}</definedName>
    <definedName name="wrn.Print._.Analyst._.Comparison." hidden="1">{"comp_bob1",#N/A,FALSE,"Analyst Comparison";"comp_linnea1",#N/A,FALSE,"Analyst Comparison"}</definedName>
    <definedName name="wrn.Print._.Business._.Plan." localSheetId="0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localSheetId="0" hidden="1">{"dilution11",#N/A,FALSE,"Dillution Analyis";"dilution21",#N/A,FALSE,"Dillution Analyis";"dilution31",#N/A,FALSE,"Dillution Analyis"}</definedName>
    <definedName name="wrn.Print._.Dilution." hidden="1">{"dilution11",#N/A,FALSE,"Dillution Analyis";"dilution21",#N/A,FALSE,"Dillution Analyis";"dilution31",#N/A,FALSE,"Dillution Analyis"}</definedName>
    <definedName name="wrn.Print._.Europe._.TandB." localSheetId="0" hidden="1">{"Print Top",#N/A,FALSE,"Europe Model";"Print Bottom",#N/A,FALSE,"Europe Model"}</definedName>
    <definedName name="wrn.Print._.Europe._.TandB." hidden="1">{"Print Top",#N/A,FALSE,"Europe Model";"Print Bottom",#N/A,FALSE,"Europe Model"}</definedName>
    <definedName name="wrn.Print._.FE._.T._.and._.B." localSheetId="0" hidden="1">{"Far East Top",#N/A,FALSE,"FE Model";"Far East Bottom",#N/A,FALSE,"FE Model"}</definedName>
    <definedName name="wrn.Print._.FE._.T._.and._.B." hidden="1">{"Far East Top",#N/A,FALSE,"FE Model";"Far East Bottom",#N/A,FALSE,"FE Model"}</definedName>
    <definedName name="wrn.Print._.Full." localSheetId="0" hidden="1">{"Print Summary",#N/A,FALSE,"Summary Analysis";"Print FCF",#N/A,FALSE,"FCF Analysis";"Print Sensitivity",#N/A,FALSE,"Sensitivity Analysis";"Print NAV",#N/A,FALSE,"NAV Analysis";"Print Credit",#N/A,FALSE,"Credit Analysis"}</definedName>
    <definedName name="wrn.Print._.Full." hidden="1">{"Print Summary",#N/A,FALSE,"Summary Analysis";"Print FCF",#N/A,FALSE,"FCF Analysis";"Print Sensitivity",#N/A,FALSE,"Sensitivity Analysis";"Print NAV",#N/A,FALSE,"NAV Analysis";"Print Credit",#N/A,FALSE,"Credit Analysis"}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localSheetId="0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localSheetId="0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_.1." localSheetId="0" hidden="1">{"Five Year",#N/A,FALSE,"Summary (2)";"Month 1 and Years",#N/A,FALSE,"Cash Budget"}</definedName>
    <definedName name="wrn.Print._.Out._.1." hidden="1">{"Five Year",#N/A,FALSE,"Summary (2)";"Month 1 and Years",#N/A,FALSE,"Cash Budget"}</definedName>
    <definedName name="wrn.Print._.PAF." localSheetId="0" hidden="1">{#N/A,#N/A,FALSE,"Assump";#N/A,#N/A,FALSE,"ROR_Sum";#N/A,#N/A,FALSE,"SF_Financial";#N/A,#N/A,FALSE,"CF_Sales";#N/A,#N/A,FALSE,"Approvals"}</definedName>
    <definedName name="wrn.Print._.PAF." hidden="1">{#N/A,#N/A,FALSE,"Assump";#N/A,#N/A,FALSE,"ROR_Sum";#N/A,#N/A,FALSE,"SF_Financial";#N/A,#N/A,FALSE,"CF_Sales";#N/A,#N/A,FALSE,"Approvals"}</definedName>
    <definedName name="wrn.print._.pages." localSheetId="0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lots." localSheetId="0" hidden="1">{"Plot1",#N/A,FALSE,"Plots";"plot2",#N/A,FALSE,"Plots";"plot3",#N/A,FALSE,"Plots";"plot4",#N/A,FALSE,"Plots";"plot5",#N/A,FALSE,"Plots";"plot6",#N/A,FALSE,"Plots"}</definedName>
    <definedName name="wrn.Print._.Plots." hidden="1">{"Plot1",#N/A,FALSE,"Plots";"plot2",#N/A,FALSE,"Plots";"plot3",#N/A,FALSE,"Plots";"plot4",#N/A,FALSE,"Plots";"plot5",#N/A,FALSE,"Plots";"plot6",#N/A,FALSE,"Plots"}</definedName>
    <definedName name="wrn.Print._.PNL._.Download." localSheetId="0" hidden="1">{"PNLProjDL",#N/A,FALSE,"PROJCO";"PNLParDL",#N/A,FALSE,"Parent"}</definedName>
    <definedName name="wrn.Print._.PNL._.Download." hidden="1">{"PNLProjDL",#N/A,FALSE,"PROJCO";"PNLParDL",#N/A,FALSE,"Parent"}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eport." localSheetId="0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sidential." localSheetId="0" hidden="1">{"Res Summary",#N/A,TRUE,"Residential";"Res DevBudget",#N/A,TRUE,"Residential";"Res CF Yr1&amp;2",#N/A,TRUE,"Residential";"Res CF Yr3",#N/A,TRUE,"Residential";"Res CF Yr4",#N/A,TRUE,"Residential";"Res CF Yr5",#N/A,TRUE,"Residential";"Res CF Yr6",#N/A,TRUE,"Residential";"Res CF Yr7",#N/A,TRUE,"Residential";"Res CF Yr8",#N/A,TRUE,"Residential";"Res CF Yr9",#N/A,TRUE,"Residential";"Res Detailed Yr1&amp;2",#N/A,TRUE,"Residential";"Res Detailed Yr3",#N/A,TRUE,"Residential";"Res Detailed Yr4",#N/A,TRUE,"Residential";"Res Detailed Yr5",#N/A,TRUE,"Residential";"Res Detailed Yr6",#N/A,TRUE,"Residential";"Res Detailed Yr7",#N/A,TRUE,"Residential";"Res Detailed Yr8",#N/A,TRUE,"Residential";"Res Detailed Yr9",#N/A,TRUE,"Residential";"Res D&amp;S Yr1&amp;2",#N/A,TRUE,"Residential";"Res D&amp;S Yr3",#N/A,TRUE,"Residential";"Res D&amp;S Yr4",#N/A,TRUE,"Residential";"Res D&amp;S Yr5",#N/A,TRUE,"Residential";"Res D&amp;S Yr6",#N/A,TRUE,"Residential";"Res D&amp;S Yr7",#N/A,TRUE,"Residential";"Res D&amp;S Yr8",#N/A,TRUE,"Residential"}</definedName>
    <definedName name="wrn.Print._.Residential." hidden="1">{"Res Summary",#N/A,TRUE,"Residential";"Res DevBudget",#N/A,TRUE,"Residential";"Res CF Yr1&amp;2",#N/A,TRUE,"Residential";"Res CF Yr3",#N/A,TRUE,"Residential";"Res CF Yr4",#N/A,TRUE,"Residential";"Res CF Yr5",#N/A,TRUE,"Residential";"Res CF Yr6",#N/A,TRUE,"Residential";"Res CF Yr7",#N/A,TRUE,"Residential";"Res CF Yr8",#N/A,TRUE,"Residential";"Res CF Yr9",#N/A,TRUE,"Residential";"Res Detailed Yr1&amp;2",#N/A,TRUE,"Residential";"Res Detailed Yr3",#N/A,TRUE,"Residential";"Res Detailed Yr4",#N/A,TRUE,"Residential";"Res Detailed Yr5",#N/A,TRUE,"Residential";"Res Detailed Yr6",#N/A,TRUE,"Residential";"Res Detailed Yr7",#N/A,TRUE,"Residential";"Res Detailed Yr8",#N/A,TRUE,"Residential";"Res Detailed Yr9",#N/A,TRUE,"Residential";"Res D&amp;S Yr1&amp;2",#N/A,TRUE,"Residential";"Res D&amp;S Yr3",#N/A,TRUE,"Residential";"Res D&amp;S Yr4",#N/A,TRUE,"Residential";"Res D&amp;S Yr5",#N/A,TRUE,"Residential";"Res D&amp;S Yr6",#N/A,TRUE,"Residential";"Res D&amp;S Yr7",#N/A,TRUE,"Residential";"Res D&amp;S Yr8",#N/A,TRUE,"Residential"}</definedName>
    <definedName name="wrn.Print._.Retail._.Hotel._.CFD." localSheetId="0" hidden="1">{"Retail Summary",#N/A,TRUE,"Retail";"Retail Budget",#N/A,TRUE,"Retail";"Retail CF Yr1&amp;2",#N/A,TRUE,"Retail";"Retail CF Yr3",#N/A,TRUE,"Retail";"Retail CF Yr4",#N/A,TRUE,"Retail";"Retail CF Yr5",#N/A,TRUE,"Retail";"Retail CF Yr6",#N/A,TRUE,"Retail";"Retail CF Yr7",#N/A,TRUE,"Retail";"Retail CF Yr8",#N/A,TRUE,"Retail";"Retail Detailed Yr1&amp;2",#N/A,TRUE,"Retail";"Retail Detailed Yr3",#N/A,TRUE,"Retail";"Retail Detailed Yr4",#N/A,TRUE,"Retail";"Retail Detailed Yr5",#N/A,TRUE,"Retail";"Retail Detailed Yr6",#N/A,TRUE,"Retail";"Retail Detailed Yr7",#N/A,TRUE,"Retail";"Retail Detailed Yr8",#N/A,TRUE,"Retail";"Retail D&amp;S Yr1&amp;2",#N/A,TRUE,"Retail";"Retail D&amp;S Yr3",#N/A,TRUE,"Retail";"Retail D&amp;S Yr4",#N/A,TRUE,"Retail";"Retail D&amp;S Yr5",#N/A,TRUE,"Retail";"Retail D&amp;S Yr6",#N/A,TRUE,"Retail";"Retail D&amp;S Yr7",#N/A,TRUE,"Retail";"Retail D&amp;S Yr8",#N/A,TRUE,"Retail";"Hotel Yr1&amp;2",#N/A,TRUE,"Hotel";"Hotel Yr3",#N/A,TRUE,"Hotel";"Hotel Yr4",#N/A,TRUE,"Hotel";"Hotel Yr5",#N/A,TRUE,"Hotel";"CFD Yr1&amp;2",#N/A,TRUE,"CFD";"CFD Yr3",#N/A,TRUE,"CFD";"CFD Yr4",#N/A,TRUE,"CFD";"CFD Yr5",#N/A,TRUE,"CFD";"CFD Yr6",#N/A,TRUE,"CFD";"CFD Yr7",#N/A,TRUE,"CFD";"CFD Yr8",#N/A,TRUE,"CFD";"CFD Yr9",#N/A,TRUE,"CFD"}</definedName>
    <definedName name="wrn.Print._.Retail._.Hotel._.CFD." hidden="1">{"Retail Summary",#N/A,TRUE,"Retail";"Retail Budget",#N/A,TRUE,"Retail";"Retail CF Yr1&amp;2",#N/A,TRUE,"Retail";"Retail CF Yr3",#N/A,TRUE,"Retail";"Retail CF Yr4",#N/A,TRUE,"Retail";"Retail CF Yr5",#N/A,TRUE,"Retail";"Retail CF Yr6",#N/A,TRUE,"Retail";"Retail CF Yr7",#N/A,TRUE,"Retail";"Retail CF Yr8",#N/A,TRUE,"Retail";"Retail Detailed Yr1&amp;2",#N/A,TRUE,"Retail";"Retail Detailed Yr3",#N/A,TRUE,"Retail";"Retail Detailed Yr4",#N/A,TRUE,"Retail";"Retail Detailed Yr5",#N/A,TRUE,"Retail";"Retail Detailed Yr6",#N/A,TRUE,"Retail";"Retail Detailed Yr7",#N/A,TRUE,"Retail";"Retail Detailed Yr8",#N/A,TRUE,"Retail";"Retail D&amp;S Yr1&amp;2",#N/A,TRUE,"Retail";"Retail D&amp;S Yr3",#N/A,TRUE,"Retail";"Retail D&amp;S Yr4",#N/A,TRUE,"Retail";"Retail D&amp;S Yr5",#N/A,TRUE,"Retail";"Retail D&amp;S Yr6",#N/A,TRUE,"Retail";"Retail D&amp;S Yr7",#N/A,TRUE,"Retail";"Retail D&amp;S Yr8",#N/A,TRUE,"Retail";"Hotel Yr1&amp;2",#N/A,TRUE,"Hotel";"Hotel Yr3",#N/A,TRUE,"Hotel";"Hotel Yr4",#N/A,TRUE,"Hotel";"Hotel Yr5",#N/A,TRUE,"Hotel";"CFD Yr1&amp;2",#N/A,TRUE,"CFD";"CFD Yr3",#N/A,TRUE,"CFD";"CFD Yr4",#N/A,TRUE,"CFD";"CFD Yr5",#N/A,TRUE,"CFD";"CFD Yr6",#N/A,TRUE,"CFD";"CFD Yr7",#N/A,TRUE,"CFD";"CFD Yr8",#N/A,TRUE,"CFD";"CFD Yr9",#N/A,TRUE,"CFD"}</definedName>
    <definedName name="wrn.print._.standalone." localSheetId="0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the._.lot." localSheetId="0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localSheetId="0" hidden="1">{"CSC_1",#N/A,FALSE,"CSC Outputs";"CSC_2",#N/A,FALSE,"CSC Outputs"}</definedName>
    <definedName name="wrn.Print_CSC." hidden="1">{"CSC_1",#N/A,FALSE,"CSC Outputs";"CSC_2",#N/A,FALSE,"CSC Outputs"}</definedName>
    <definedName name="wrn.Print_CSC2" localSheetId="0" hidden="1">{"CSC_1",#N/A,FALSE,"CSC Outputs";"CSC_2",#N/A,FALSE,"CSC Outputs"}</definedName>
    <definedName name="wrn.Print_CSC2" hidden="1">{"CSC_1",#N/A,FALSE,"CSC Outputs";"CSC_2",#N/A,FALSE,"CSC Outputs"}</definedName>
    <definedName name="wrn.Print_DCF." localSheetId="0" hidden="1">{"dcf_linnea1",#N/A,FALSE,"Discounted Cash Flow";"dcf_bob1",#N/A,FALSE,"Discounted Cash Flow";"dcf_bob21",#N/A,FALSE,"Discounted Cash Flow";"dcf_linnea21",#N/A,FALSE,"Discounted Cash Flow"}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Earnings_template." localSheetId="0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localSheetId="0" hidden="1">{"var_page",#N/A,FALSE,"template"}</definedName>
    <definedName name="wrn.Print_Var_page." hidden="1">{"var_page",#N/A,FALSE,"template"}</definedName>
    <definedName name="wrn.print_variance." localSheetId="0" hidden="1">{"var_report",#N/A,FALSE,"template"}</definedName>
    <definedName name="wrn.print_variance." hidden="1">{"var_report",#N/A,FALSE,"template"}</definedName>
    <definedName name="wrn.Print_Variance_Page." localSheetId="0" hidden="1">{"variance_page",#N/A,FALSE,"template"}</definedName>
    <definedName name="wrn.Print_Variance_Page." hidden="1">{"variance_page",#N/A,FALSE,"template"}</definedName>
    <definedName name="wrn.printac." localSheetId="0" hidden="1">{#N/A,#N/A,FALSE,"Op-BS";#N/A,#N/A,FALSE,"Assum";#N/A,#N/A,FALSE,"IS";#N/A,#N/A,FALSE,"Syn+Elim";#N/A,#N/A,FALSE,"BSCF";#N/A,#N/A,FALSE,"Blue_IS";#N/A,#N/A,FALSE,"Blue_BSCF";#N/A,#N/A,FALSE,"Ratings"}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localSheetId="0" hidden="1">{"Tab1",#N/A,FALSE,"Cover";"Tab2",#N/A,FALSE,"Sect 3.18";"Tab3",#N/A,FALSE,"Section 3.22 (b) ";"Tab4",#N/A,FALSE,"Section 3.29 (i) (ii) (iii)";"Tab5",#N/A,FALSE,"Section 3.29 (ii)";"Tab6",#N/A,FALSE,"Section 4.04 vi";"Tab8",#N/A,FALSE,"3.29."}</definedName>
    <definedName name="wrn.PrintAll." hidden="1">{"Tab1",#N/A,FALSE,"Cover";"Tab2",#N/A,FALSE,"Sect 3.18";"Tab3",#N/A,FALSE,"Section 3.22 (b) ";"Tab4",#N/A,FALSE,"Section 3.29 (i) (ii) (iii)";"Tab5",#N/A,FALSE,"Section 3.29 (ii)";"Tab6",#N/A,FALSE,"Section 4.04 vi";"Tab8",#N/A,FALSE,"3.29."}</definedName>
    <definedName name="wrn.PrintCap." localSheetId="0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Printing._.the._.transactions._.sheets." localSheetId="0" hidden="1">{#N/A,#N/A,FALSE,"Eastern";#N/A,#N/A,FALSE,"Western"}</definedName>
    <definedName name="wrn.Printing._.the._.transactions._.sheets." hidden="1">{#N/A,#N/A,FALSE,"Eastern";#N/A,#N/A,FALSE,"Western"}</definedName>
    <definedName name="wrn.Pro._.Forma." localSheetId="0" hidden="1">{#N/A,#N/A,TRUE,"Cost";#N/A,#N/A,TRUE,"Income";#N/A,#N/A,TRUE,"Vac_Expir";#N/A,#N/A,TRUE,"Notes";#N/A,#N/A,TRUE,"Leasing_Sched"}</definedName>
    <definedName name="wrn.Pro._.Forma." hidden="1">{#N/A,#N/A,TRUE,"Cost";#N/A,#N/A,TRUE,"Income";#N/A,#N/A,TRUE,"Vac_Expir";#N/A,#N/A,TRUE,"Notes";#N/A,#N/A,TRUE,"Leasing_Sched"}</definedName>
    <definedName name="wrn.Prod.._.Profile." localSheetId="0" hidden="1">{"Prod Pro",#N/A,FALSE,"E"}</definedName>
    <definedName name="wrn.Prod.._.Profile." hidden="1">{"Prod Pro",#N/A,FALSE,"E"}</definedName>
    <definedName name="wrn.PRODTABLES." localSheetId="0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uciton._.Profile." localSheetId="0" hidden="1">{"Production Profile",#N/A,FALSE,"Production Profile"}</definedName>
    <definedName name="wrn.Produciton._.Profile." hidden="1">{"Production Profile",#N/A,FALSE,"Production Profile"}</definedName>
    <definedName name="wrn.Production._.Profile." localSheetId="0" hidden="1">{"Production Profile",#N/A,FALSE,"Production"}</definedName>
    <definedName name="wrn.Production._.Profile." hidden="1">{"Production Profile",#N/A,FALSE,"Production"}</definedName>
    <definedName name="wrn.Production._.Schedule." localSheetId="0" hidden="1">{"Production Schedule",#N/A,FALSE,"Production Schedule"}</definedName>
    <definedName name="wrn.Production._.Schedule." hidden="1">{"Production Schedule",#N/A,FALSE,"Production Schedule"}</definedName>
    <definedName name="wrn.Profit._.and._.Loss.Phase3" localSheetId="0" hidden="1">{"Profit and Loss",#N/A,FALSE,"9697"}</definedName>
    <definedName name="wrn.Profit._.and._.Loss.Phase3" hidden="1">{"Profit and Loss",#N/A,FALSE,"9697"}</definedName>
    <definedName name="wrn.Proforma._.799to1299." localSheetId="0" hidden="1">{#N/A,#N/A,TRUE,"Summary";#N/A,#N/A,TRUE,"Cash Flow";#N/A,#N/A,TRUE,"Income Statement";#N/A,#N/A,TRUE,"Balance Sheet";#N/A,#N/A,TRUE,"Sales Plan";#N/A,#N/A,TRUE,"Staffing Plan";#N/A,#N/A,TRUE,"Capital Exp Plan"}</definedName>
    <definedName name="wrn.Proforma._.799to1299." hidden="1">{#N/A,#N/A,TRUE,"Summary";#N/A,#N/A,TRUE,"Cash Flow";#N/A,#N/A,TRUE,"Income Statement";#N/A,#N/A,TRUE,"Balance Sheet";#N/A,#N/A,TRUE,"Sales Plan";#N/A,#N/A,TRUE,"Staffing Plan";#N/A,#N/A,TRUE,"Capital Exp Plan"}</definedName>
    <definedName name="wrn.Proforma._.Statements." localSheetId="0" hidden="1">{#N/A,#N/A,TRUE,"Summary";#N/A,#N/A,TRUE,"Cash Flow";#N/A,#N/A,TRUE,"Income Statement";#N/A,#N/A,TRUE,"Balance Sheet";#N/A,#N/A,TRUE,"Sales Plan";#N/A,#N/A,TRUE,"Staffing Plan";#N/A,#N/A,TRUE,"Capital Exp Plan"}</definedName>
    <definedName name="wrn.Proforma._.Statements." hidden="1">{#N/A,#N/A,TRUE,"Summary";#N/A,#N/A,TRUE,"Cash Flow";#N/A,#N/A,TRUE,"Income Statement";#N/A,#N/A,TRUE,"Balance Sheet";#N/A,#N/A,TRUE,"Sales Plan";#N/A,#N/A,TRUE,"Staffing Plan";#N/A,#N/A,TRUE,"Capital Exp Plan"}</definedName>
    <definedName name="wrn.Projection." localSheetId="0" hidden="1">{"ProjLC",#N/A,FALSE,"LOCALwithADJ";"ProjUSD",#N/A,FALSE,"USwithADJ"}</definedName>
    <definedName name="wrn.Projection." hidden="1">{"ProjLC",#N/A,FALSE,"LOCALwithADJ";"ProjUSD",#N/A,FALSE,"USwithADJ"}</definedName>
    <definedName name="wrn.Projection._.Inputs." localSheetId="0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localSheetId="0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ertyInformation." localSheetId="0" hidden="1">{#N/A,#N/A,FALSE,"PropertyInfo"}</definedName>
    <definedName name="wrn.PropertyInformation." hidden="1">{#N/A,#N/A,FALSE,"PropertyInfo"}</definedName>
    <definedName name="wrn.Publications." localSheetId="0" hidden="1">{"Page 1",#N/A,FALSE;"Page 2",#N/A,FALSE}</definedName>
    <definedName name="wrn.Publications." hidden="1">{"Page 1",#N/A,FALSE;"Page 2",#N/A,FALSE}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Pulp.2" localSheetId="0" hidden="1">{"Pulp Production",#N/A,FALSE,"Pulp";"Pulp Earnings",#N/A,FALSE,"Pulp"}</definedName>
    <definedName name="wrn.Pulp.2" hidden="1">{"Pulp Production",#N/A,FALSE,"Pulp";"Pulp Earnings",#N/A,FALSE,"Pulp"}</definedName>
    <definedName name="wrn.Pulp.3" localSheetId="0" hidden="1">{"Pulp Production",#N/A,FALSE,"Pulp";"Pulp Earnings",#N/A,FALSE,"Pulp"}</definedName>
    <definedName name="wrn.Pulp.3" hidden="1">{"Pulp Production",#N/A,FALSE,"Pulp";"Pulp Earnings",#N/A,FALSE,"Pulp"}</definedName>
    <definedName name="wrn.Pump." localSheetId="0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rchase._.Macro." localSheetId="0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3._.Prof._.Serv._.Summary." localSheetId="0" hidden="1">{"Professional Service Summary",#N/A,FALSE,"Q3 Prof Serv"}</definedName>
    <definedName name="wrn.Q3._.Prof._.Serv._.Summary." hidden="1">{"Professional Service Summary",#N/A,FALSE,"Q3 Prof Serv"}</definedName>
    <definedName name="wrn.Q3._.Professional._.service._.detail." localSheetId="0" hidden="1">{"Professional Service Detail",#N/A,FALSE,"Q3 Prof Serv"}</definedName>
    <definedName name="wrn.Q3._.Professional._.service._.detail." hidden="1">{"Professional Service Detail",#N/A,FALSE,"Q3 Prof Serv"}</definedName>
    <definedName name="wrn.QQ_Quick_Merge_3yr." localSheetId="0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localSheetId="0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localSheetId="0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localSheetId="0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localSheetId="0" hidden="1">{"Cover",#N/A,FALSE,"Cover";"trans_sum_print",#N/A,FALSE,"Transaction Summary";"earnings_impact_3yrQQ",#N/A,FALSE,"Earnings Impact";"accr_dil_3yr",#N/A,FALSE,"accretion dilution"}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localSheetId="0" hidden="1">{"Cover",#N/A,FALSE,"Cover";"trans_sum_print",#N/A,FALSE,"Transaction Summary";"earnings_impact_4yrQQ",#N/A,FALSE,"Earnings Impact";"accr_dil_4yr",#N/A,FALSE,"accretion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localSheetId="0" hidden="1">{"Cover",#N/A,FALSE,"Cover";"trans_sum_print",#N/A,FALSE,"Transaction Summary";"earnings_impact_5yrQQ",#N/A,FALSE,"Earnings Impact";"accr_dil_5yr",#N/A,FALSE,"accretion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localSheetId="0" hidden="1">{"Cover",#N/A,FALSE,"Cover";"trans_sum_print",#N/A,FALSE,"Transaction Summary";"earnings_impact_6yrQQ",#N/A,FALSE,"Earnings Impact";"accr_dil_6yr",#N/A,FALSE,"accretion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r._.Data." localSheetId="0" hidden="1">{"1999 by qtr",#N/A,FALSE,"Total_Company"}</definedName>
    <definedName name="wrn.Qtr._.Data." hidden="1">{"1999 by qtr",#N/A,FALSE,"Total_Company"}</definedName>
    <definedName name="wrn.Quarter." localSheetId="0" hidden="1">{"QuarterLC",#N/A,FALSE,"LOCALwithADJ";"QuarterUSD",#N/A,FALSE,"USwithADJ"}</definedName>
    <definedName name="wrn.Quarter." hidden="1">{"QuarterLC",#N/A,FALSE,"LOCALwithADJ";"QuarterUSD",#N/A,FALSE,"USwithADJ"}</definedName>
    <definedName name="wrn.quarterly." localSheetId="0" hidden="1">{"Calenquart",#N/A,FALSE,"Remedy-model";"fiscquarter",#N/A,FALSE,"Remedy-model"}</definedName>
    <definedName name="wrn.quarterly." hidden="1">{"Calenquart",#N/A,FALSE,"Remedy-model";"fiscquarter",#N/A,FALSE,"Remedy-model"}</definedName>
    <definedName name="wrn.Quarterly._.Income._.Statement." localSheetId="0" hidden="1">{#N/A,#N/A,FALSE,"earnings"}</definedName>
    <definedName name="wrn.Quarterly._.Income._.Statement." hidden="1">{#N/A,#N/A,FALSE,"earnings"}</definedName>
    <definedName name="wrn.Quarterly._.revenue._.model." localSheetId="0" hidden="1">{#N/A,#N/A,FALSE,"earnings"}</definedName>
    <definedName name="wrn.Quarterly._.revenue._.model." hidden="1">{#N/A,#N/A,FALSE,"earnings"}</definedName>
    <definedName name="wrn.Quick._.Print." localSheetId="0" hidden="1">{#N/A,#N/A,FALSE,"Summary";#N/A,#N/A,FALSE,"Data";#N/A,#N/A,FALSE,"Proj Op Inc";#N/A,#N/A,FALSE,"Proj CF";#N/A,#N/A,FALSE,"Proj Val"}</definedName>
    <definedName name="wrn.Quick._.Print." hidden="1">{#N/A,#N/A,FALSE,"Summary";#N/A,#N/A,FALSE,"Data";#N/A,#N/A,FALSE,"Proj Op Inc";#N/A,#N/A,FALSE,"Proj CF";#N/A,#N/A,FALSE,"Proj Val"}</definedName>
    <definedName name="wrn.Quick_Merge_3yr." localSheetId="0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localSheetId="0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localSheetId="0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localSheetId="0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adio." localSheetId="0" hidden="1">{#N/A,#N/A,FALSE,"Virgin Flightdeck"}</definedName>
    <definedName name="wrn.Radio." hidden="1">{#N/A,#N/A,FALSE,"Virgin Flightdeck"}</definedName>
    <definedName name="wrn.rapport._.1." localSheetId="0" hidden="1">{#N/A,#N/A,TRUE,"Forecast &amp; Analysis";#N/A,#N/A,TRUE,"Market Values";#N/A,#N/A,TRUE,"Ratios";#N/A,#N/A,TRUE,"Regressions";#N/A,#N/A,TRUE,"Market Values";#N/A,#N/A,TRUE,"Parameters &amp; Results"}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ng._.Agency._.99." localSheetId="0" hidden="1">{"1997-2002a",#N/A,FALSE,"1997 - 2002";"98-99",#N/A,FALSE,"by Q 98-99";"99-00",#N/A,FALSE,"by Q 99-00";"1997",#N/A,FALSE,"1997 product line";"1998",#N/A,FALSE,"1998 product line";"1999",#N/A,FALSE,"1999 product line";"2000",#N/A,FALSE,"2000 product line";"2001",#N/A,FALSE,"2001 product line";"2002",#N/A,FALSE,"2002  product line ";"Net Sales",#N/A,FALSE,"net sales by product";"GM% by Product",#N/A,FALSE,"gross margin by product";"Gross Profit",#N/A,FALSE,"gross profit by product";"Corp Assumptions",#N/A,FALSE,"corporate assumptions";"Product Trend",#N/A,FALSE,"product line output - S&amp;M trend"}</definedName>
    <definedName name="wrn.Rating._.Agency._.99." hidden="1">{"1997-2002a",#N/A,FALSE,"1997 - 2002";"98-99",#N/A,FALSE,"by Q 98-99";"99-00",#N/A,FALSE,"by Q 99-00";"1997",#N/A,FALSE,"1997 product line";"1998",#N/A,FALSE,"1998 product line";"1999",#N/A,FALSE,"1999 product line";"2000",#N/A,FALSE,"2000 product line";"2001",#N/A,FALSE,"2001 product line";"2002",#N/A,FALSE,"2002  product line ";"Net Sales",#N/A,FALSE,"net sales by product";"GM% by Product",#N/A,FALSE,"gross margin by product";"Gross Profit",#N/A,FALSE,"gross profit by product";"Corp Assumptions",#N/A,FALSE,"corporate assumptions";"Product Trend",#N/A,FALSE,"product line output - S&amp;M trend"}</definedName>
    <definedName name="wrn.ratios." localSheetId="0" hidden="1">{"ratios",#N/A,FALSE,"Summary Accounts"}</definedName>
    <definedName name="wrn.ratios." hidden="1">{"ratios",#N/A,FALSE,"Summary Accounts"}</definedName>
    <definedName name="wrn.Recovery." localSheetId="0" hidden="1">{#N/A,#N/A,FALSE,"COVER";#N/A,#N/A,FALSE,"Index";#N/A,#N/A,FALSE,"Summ_Products_Rec.97-98";#N/A,#N/A,FALSE,"QTR_Comp.";#N/A,#N/A,FALSE,"Summ_Detail_Rec.97-98";#N/A,#N/A,FALSE,"Summ_Agencies_Rec.97-98"}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_take." localSheetId="0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FINERY." localSheetId="0" hidden="1">{"Padd I to III",#N/A,FALSE,"REFINERY";"Padd IV to US",#N/A,FALSE,"REFINERY";"Crude Balance I",#N/A,FALSE,"REFINERY";"Crude Balance II",#N/A,FALSE,"REFINERY"}</definedName>
    <definedName name="wrn.REFINERY." hidden="1">{"Padd I to III",#N/A,FALSE,"REFINERY";"Padd IV to US",#N/A,FALSE,"REFINERY";"Crude Balance I",#N/A,FALSE,"REFINERY";"Crude Balance II",#N/A,FALSE,"REFINERY"}</definedName>
    <definedName name="wrn.Refining." localSheetId="0" hidden="1">{"Refining",#N/A,FALSE,"Refining"}</definedName>
    <definedName name="wrn.Refining." hidden="1">{"Refining 1",#N/A,FALSE,"Detailed cost - crude";"Refining 2",#N/A,FALSE,"Detailed cost - crude"}</definedName>
    <definedName name="wrn.Refining._1" localSheetId="0" hidden="1">{"Refining 1",#N/A,FALSE,"Detailed cost - crude";"Refining 2",#N/A,FALSE,"Detailed cost - crude"}</definedName>
    <definedName name="wrn.Refining._1" hidden="1">{"Refining 1",#N/A,FALSE,"Detailed cost - crude";"Refining 2",#N/A,FALSE,"Detailed cost - crude"}</definedName>
    <definedName name="wrn.Refining._1_1" localSheetId="0" hidden="1">{"Refining 1",#N/A,FALSE,"Detailed cost - crude";"Refining 2",#N/A,FALSE,"Detailed cost - crude"}</definedName>
    <definedName name="wrn.Refining._1_1" hidden="1">{"Refining 1",#N/A,FALSE,"Detailed cost - crude";"Refining 2",#N/A,FALSE,"Detailed cost - crude"}</definedName>
    <definedName name="wrn.Refining._1_1_1" localSheetId="0" hidden="1">{"Refining 1",#N/A,FALSE,"Detailed cost - crude";"Refining 2",#N/A,FALSE,"Detailed cost - crude"}</definedName>
    <definedName name="wrn.Refining._1_1_1" hidden="1">{"Refining 1",#N/A,FALSE,"Detailed cost - crude";"Refining 2",#N/A,FALSE,"Detailed cost - crude"}</definedName>
    <definedName name="wrn.Refining._1_1_2" localSheetId="0" hidden="1">{"Refining 1",#N/A,FALSE,"Detailed cost - crude";"Refining 2",#N/A,FALSE,"Detailed cost - crude"}</definedName>
    <definedName name="wrn.Refining._1_1_2" hidden="1">{"Refining 1",#N/A,FALSE,"Detailed cost - crude";"Refining 2",#N/A,FALSE,"Detailed cost - crude"}</definedName>
    <definedName name="wrn.Refining._1_1_3" localSheetId="0" hidden="1">{"Refining 1",#N/A,FALSE,"Detailed cost - crude";"Refining 2",#N/A,FALSE,"Detailed cost - crude"}</definedName>
    <definedName name="wrn.Refining._1_1_3" hidden="1">{"Refining 1",#N/A,FALSE,"Detailed cost - crude";"Refining 2",#N/A,FALSE,"Detailed cost - crude"}</definedName>
    <definedName name="wrn.Refining._1_1_4" localSheetId="0" hidden="1">{"Refining 1",#N/A,FALSE,"Detailed cost - crude";"Refining 2",#N/A,FALSE,"Detailed cost - crude"}</definedName>
    <definedName name="wrn.Refining._1_1_4" hidden="1">{"Refining 1",#N/A,FALSE,"Detailed cost - crude";"Refining 2",#N/A,FALSE,"Detailed cost - crude"}</definedName>
    <definedName name="wrn.Refining._1_1_5" localSheetId="0" hidden="1">{"Refining 1",#N/A,FALSE,"Detailed cost - crude";"Refining 2",#N/A,FALSE,"Detailed cost - crude"}</definedName>
    <definedName name="wrn.Refining._1_1_5" hidden="1">{"Refining 1",#N/A,FALSE,"Detailed cost - crude";"Refining 2",#N/A,FALSE,"Detailed cost - crude"}</definedName>
    <definedName name="wrn.Refining._1_2" localSheetId="0" hidden="1">{"Refining 1",#N/A,FALSE,"Detailed cost - crude";"Refining 2",#N/A,FALSE,"Detailed cost - crude"}</definedName>
    <definedName name="wrn.Refining._1_2" hidden="1">{"Refining 1",#N/A,FALSE,"Detailed cost - crude";"Refining 2",#N/A,FALSE,"Detailed cost - crude"}</definedName>
    <definedName name="wrn.Refining._1_3" localSheetId="0" hidden="1">{"Refining 1",#N/A,FALSE,"Detailed cost - crude";"Refining 2",#N/A,FALSE,"Detailed cost - crude"}</definedName>
    <definedName name="wrn.Refining._1_3" hidden="1">{"Refining 1",#N/A,FALSE,"Detailed cost - crude";"Refining 2",#N/A,FALSE,"Detailed cost - crude"}</definedName>
    <definedName name="wrn.Refining._1_4" localSheetId="0" hidden="1">{"Refining 1",#N/A,FALSE,"Detailed cost - crude";"Refining 2",#N/A,FALSE,"Detailed cost - crude"}</definedName>
    <definedName name="wrn.Refining._1_4" hidden="1">{"Refining 1",#N/A,FALSE,"Detailed cost - crude";"Refining 2",#N/A,FALSE,"Detailed cost - crude"}</definedName>
    <definedName name="wrn.Refining._1_5" localSheetId="0" hidden="1">{"Refining 1",#N/A,FALSE,"Detailed cost - crude";"Refining 2",#N/A,FALSE,"Detailed cost - crude"}</definedName>
    <definedName name="wrn.Refining._1_5" hidden="1">{"Refining 1",#N/A,FALSE,"Detailed cost - crude";"Refining 2",#N/A,FALSE,"Detailed cost - crude"}</definedName>
    <definedName name="wrn.Refining._2" localSheetId="0" hidden="1">{"Refining 1",#N/A,FALSE,"Detailed cost - crude";"Refining 2",#N/A,FALSE,"Detailed cost - crude"}</definedName>
    <definedName name="wrn.Refining._2" hidden="1">{"Refining 1",#N/A,FALSE,"Detailed cost - crude";"Refining 2",#N/A,FALSE,"Detailed cost - crude"}</definedName>
    <definedName name="wrn.Refining._2_1" localSheetId="0" hidden="1">{"Refining 1",#N/A,FALSE,"Detailed cost - crude";"Refining 2",#N/A,FALSE,"Detailed cost - crude"}</definedName>
    <definedName name="wrn.Refining._2_1" hidden="1">{"Refining 1",#N/A,FALSE,"Detailed cost - crude";"Refining 2",#N/A,FALSE,"Detailed cost - crude"}</definedName>
    <definedName name="wrn.Refining._2_2" localSheetId="0" hidden="1">{"Refining 1",#N/A,FALSE,"Detailed cost - crude";"Refining 2",#N/A,FALSE,"Detailed cost - crude"}</definedName>
    <definedName name="wrn.Refining._2_2" hidden="1">{"Refining 1",#N/A,FALSE,"Detailed cost - crude";"Refining 2",#N/A,FALSE,"Detailed cost - crude"}</definedName>
    <definedName name="wrn.Refining._2_3" localSheetId="0" hidden="1">{"Refining 1",#N/A,FALSE,"Detailed cost - crude";"Refining 2",#N/A,FALSE,"Detailed cost - crude"}</definedName>
    <definedName name="wrn.Refining._2_3" hidden="1">{"Refining 1",#N/A,FALSE,"Detailed cost - crude";"Refining 2",#N/A,FALSE,"Detailed cost - crude"}</definedName>
    <definedName name="wrn.Refining._2_4" localSheetId="0" hidden="1">{"Refining 1",#N/A,FALSE,"Detailed cost - crude";"Refining 2",#N/A,FALSE,"Detailed cost - crude"}</definedName>
    <definedName name="wrn.Refining._2_4" hidden="1">{"Refining 1",#N/A,FALSE,"Detailed cost - crude";"Refining 2",#N/A,FALSE,"Detailed cost - crude"}</definedName>
    <definedName name="wrn.Refining._2_5" localSheetId="0" hidden="1">{"Refining 1",#N/A,FALSE,"Detailed cost - crude";"Refining 2",#N/A,FALSE,"Detailed cost - crude"}</definedName>
    <definedName name="wrn.Refining._2_5" hidden="1">{"Refining 1",#N/A,FALSE,"Detailed cost - crude";"Refining 2",#N/A,FALSE,"Detailed cost - crude"}</definedName>
    <definedName name="wrn.Refining._3" localSheetId="0" hidden="1">{"Refining 1",#N/A,FALSE,"Detailed cost - crude";"Refining 2",#N/A,FALSE,"Detailed cost - crude"}</definedName>
    <definedName name="wrn.Refining._3" hidden="1">{"Refining 1",#N/A,FALSE,"Detailed cost - crude";"Refining 2",#N/A,FALSE,"Detailed cost - crude"}</definedName>
    <definedName name="wrn.Refining._3_1" localSheetId="0" hidden="1">{"Refining 1",#N/A,FALSE,"Detailed cost - crude";"Refining 2",#N/A,FALSE,"Detailed cost - crude"}</definedName>
    <definedName name="wrn.Refining._3_1" hidden="1">{"Refining 1",#N/A,FALSE,"Detailed cost - crude";"Refining 2",#N/A,FALSE,"Detailed cost - crude"}</definedName>
    <definedName name="wrn.Refining._3_2" localSheetId="0" hidden="1">{"Refining 1",#N/A,FALSE,"Detailed cost - crude";"Refining 2",#N/A,FALSE,"Detailed cost - crude"}</definedName>
    <definedName name="wrn.Refining._3_2" hidden="1">{"Refining 1",#N/A,FALSE,"Detailed cost - crude";"Refining 2",#N/A,FALSE,"Detailed cost - crude"}</definedName>
    <definedName name="wrn.Refining._3_3" localSheetId="0" hidden="1">{"Refining 1",#N/A,FALSE,"Detailed cost - crude";"Refining 2",#N/A,FALSE,"Detailed cost - crude"}</definedName>
    <definedName name="wrn.Refining._3_3" hidden="1">{"Refining 1",#N/A,FALSE,"Detailed cost - crude";"Refining 2",#N/A,FALSE,"Detailed cost - crude"}</definedName>
    <definedName name="wrn.Refining._3_4" localSheetId="0" hidden="1">{"Refining 1",#N/A,FALSE,"Detailed cost - crude";"Refining 2",#N/A,FALSE,"Detailed cost - crude"}</definedName>
    <definedName name="wrn.Refining._3_4" hidden="1">{"Refining 1",#N/A,FALSE,"Detailed cost - crude";"Refining 2",#N/A,FALSE,"Detailed cost - crude"}</definedName>
    <definedName name="wrn.Refining._3_5" localSheetId="0" hidden="1">{"Refining 1",#N/A,FALSE,"Detailed cost - crude";"Refining 2",#N/A,FALSE,"Detailed cost - crude"}</definedName>
    <definedName name="wrn.Refining._3_5" hidden="1">{"Refining 1",#N/A,FALSE,"Detailed cost - crude";"Refining 2",#N/A,FALSE,"Detailed cost - crude"}</definedName>
    <definedName name="wrn.Refining._4" localSheetId="0" hidden="1">{"Refining 1",#N/A,FALSE,"Detailed cost - crude";"Refining 2",#N/A,FALSE,"Detailed cost - crude"}</definedName>
    <definedName name="wrn.Refining._4" hidden="1">{"Refining 1",#N/A,FALSE,"Detailed cost - crude";"Refining 2",#N/A,FALSE,"Detailed cost - crude"}</definedName>
    <definedName name="wrn.Refining._5" localSheetId="0" hidden="1">{"Refining 1",#N/A,FALSE,"Detailed cost - crude";"Refining 2",#N/A,FALSE,"Detailed cost - crude"}</definedName>
    <definedName name="wrn.Refining._5" hidden="1">{"Refining 1",#N/A,FALSE,"Detailed cost - crude";"Refining 2",#N/A,FALSE,"Detailed cost - crude"}</definedName>
    <definedName name="wrn.region." localSheetId="0" hidden="1">{"Region",#N/A,FALSE,"CNTRYTYPE"}</definedName>
    <definedName name="wrn.region." hidden="1">{"Region",#N/A,FALSE,"CNTRYTYPE"}</definedName>
    <definedName name="wrn.RELEVANTSHEETS." localSheetId="0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rep." localSheetId="0" hidden="1">{"test",#N/A,FALSE,"Y";"test2",#N/A,FALSE,"Y"}</definedName>
    <definedName name="wrn.rep." hidden="1">{"test",#N/A,FALSE,"Y";"test2",#N/A,FALSE,"Y"}</definedName>
    <definedName name="wrn.report" localSheetId="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0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.1." localSheetId="0" hidden="1">{#N/A,#N/A,FALSE,"sum";#N/A,#N/A,FALSE,"baladj";#N/A,#N/A,FALSE,"bs";#N/A,#N/A,FALSE,"is";#N/A,#N/A,FALSE,"cf";#N/A,#N/A,FALSE,"pis";#N/A,#N/A,FALSE,"balhist";#N/A,#N/A,FALSE,"wc";#N/A,#N/A,FALSE,"ltd";#N/A,#N/A,FALSE,"fa";#N/A,#N/A,FALSE,"tax";#N/A,#N/A,FALSE,"irr";#N/A,#N/A,FALSE,"dcf"}</definedName>
    <definedName name="wrn.report._.1." hidden="1">{#N/A,#N/A,FALSE,"sum";#N/A,#N/A,FALSE,"baladj";#N/A,#N/A,FALSE,"bs";#N/A,#N/A,FALSE,"is";#N/A,#N/A,FALSE,"cf";#N/A,#N/A,FALSE,"pis";#N/A,#N/A,FALSE,"balhist";#N/A,#N/A,FALSE,"wc";#N/A,#N/A,FALSE,"ltd";#N/A,#N/A,FALSE,"fa";#N/A,#N/A,FALSE,"tax";#N/A,#N/A,FALSE,"irr";#N/A,#N/A,FALSE,"dcf"}</definedName>
    <definedName name="wrn.Report._.2." localSheetId="0" hidden="1">{#N/A,#N/A,TRUE,"Pivots-Employee";#N/A,"Scenerio2",TRUE,"Assumptions Summary"}</definedName>
    <definedName name="wrn.Report._.2." hidden="1">{#N/A,#N/A,TRUE,"Pivots-Employee";#N/A,"Scenerio2",TRUE,"Assumptions Summary"}</definedName>
    <definedName name="wrn.Report._.Detail." localSheetId="0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set._.with._.311." localSheetId="0" hidden="1">{"summary report",#N/A,FALSE,"SUMMARY REPORT";"salary model ytd",#N/A,FALSE,"SALARY MODEL - YTD";"salary model mtd",#N/A,FALSE,"SALARY MODEL - MTD";"detail 311",#N/A,FALSE,"311 ACTUAL"}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localSheetId="0" hidden="1">{"summary report",#N/A,FALSE,"SUMMARY REPORT";"salary model ytd",#N/A,FALSE,"SALARY MODEL - YTD";"salary model mtd",#N/A,FALSE,"SALARY MODEL - MTD"}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1." localSheetId="0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REPORTE._.FINAL." localSheetId="0" hidden="1">{#N/A,#N/A,FALSE,"Pedidos Abiertos"}</definedName>
    <definedName name="wrn.REPORTE._.FINAL." hidden="1">{#N/A,#N/A,FALSE,"Pedidos Abiertos"}</definedName>
    <definedName name="wrn.Reports._.to._.EBITDARM." localSheetId="0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rts2." localSheetId="0" hidden="1">{"NI2",#N/A,FALSE,"Sum - Exp";"Revenue2",#N/A,FALSE,"Sum - Exp";"Headcount2",#N/A,FALSE,"Sum - Exp";"Pipeline2",#N/A,FALSE,"Sum - Exp";"expenses",#N/A,FALSE,"Sum - Exp"}</definedName>
    <definedName name="wrn.Reports2." hidden="1">{"NI2",#N/A,FALSE,"Sum - Exp";"Revenue2",#N/A,FALSE,"Sum - Exp";"Headcount2",#N/A,FALSE,"Sum - Exp";"Pipeline2",#N/A,FALSE,"Sum - Exp";"expenses",#N/A,FALSE,"Sum - Exp"}</definedName>
    <definedName name="wrn.RESERVE._.SCHEDULE." localSheetId="0" hidden="1">{#N/A,#N/A,FALSE,"Sheet8";#N/A,#N/A,FALSE,"Sheet7"}</definedName>
    <definedName name="wrn.RESERVE._.SCHEDULE." hidden="1">{#N/A,#N/A,FALSE,"Sheet8";#N/A,#N/A,FALSE,"Sheet7"}</definedName>
    <definedName name="wrn.RESIDUALS." localSheetId="0" hidden="1">{#N/A,#N/A,FALSE,"For-Sale";#N/A,#N/A,FALSE,"For-Rent"}</definedName>
    <definedName name="wrn.RESIDUALS." hidden="1">{#N/A,#N/A,FALSE,"For-Sale";#N/A,#N/A,FALSE,"For-Rent"}</definedName>
    <definedName name="wrn.Restricted._.Rpts." localSheetId="0" hidden="1">{"RptRY",#N/A,FALSE,"CDGy";"RptRQ",#N/A,FALSE,"CDGq";"RptRM",#N/A,FALSE,"CDGm"}</definedName>
    <definedName name="wrn.Restricted._.Rpts." hidden="1">{"RptRY",#N/A,FALSE,"CDGy";"RptRQ",#N/A,FALSE,"CDGq";"RptRM",#N/A,FALSE,"CDGm"}</definedName>
    <definedName name="wrn.Results._.Worksheet." localSheetId="0" hidden="1">{"Results Worksheets",#N/A,FALSE,"RESULTS"}</definedName>
    <definedName name="wrn.Results._.Worksheet." hidden="1">{"Results Worksheets",#N/A,FALSE,"RESULTS"}</definedName>
    <definedName name="wrn.REV1." localSheetId="0" hidden="1">{"FORM1",#N/A,FALSE,"Revenue";"FORMTR",#N/A,FALSE,"Revenue";"FORM3.1",#N/A,FALSE,"Revenue"}</definedName>
    <definedName name="wrn.REV1." hidden="1">{"FORM1",#N/A,FALSE,"Revenue";"FORMTR",#N/A,FALSE,"Revenue";"FORM3.1",#N/A,FALSE,"Revenue"}</definedName>
    <definedName name="wrn.Revenue." localSheetId="0" hidden="1">{#N/A,#N/A,FALSE,"Revenue (Annual)";"Revenue _ First 5 years Quarterly",#N/A,FALSE,"Revenue (Qtr)"}</definedName>
    <definedName name="wrn.Revenue." hidden="1">{#N/A,#N/A,FALSE,"Revenue (Annual)";"Revenue _ First 5 years Quarterly",#N/A,FALSE,"Revenue (Qtr)"}</definedName>
    <definedName name="wrn.revenue._.detail." localSheetId="0" hidden="1">{"revenue detail 1",#N/A,FALSE,"Revenue Detail";"revenue detail 2",#N/A,FALSE,"Revenue Detail";"revenue detail 3",#N/A,FALSE,"Revenue Detail";"revenue detail 4",#N/A,FALSE,"Revenue Detail"}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localSheetId="0" hidden="1">{"revenue graph",#N/A,FALSE,"Revenue Graph"}</definedName>
    <definedName name="wrn.revenue._.graph." hidden="1">{"revenue graph",#N/A,FALSE,"Revenue Graph"}</definedName>
    <definedName name="wrn.review." localSheetId="0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sed._.Stage._.1._.Cost._.Calc.Phase3" localSheetId="0" hidden="1">{"Stage 1 Cost Calc",#N/A,FALSE,"Stage 1 Allocation"}</definedName>
    <definedName name="wrn.Revised._.Stage._.1._.Cost._.Calc.Phase3" hidden="1">{"Stage 1 Cost Calc",#N/A,FALSE,"Stage 1 Allocation"}</definedName>
    <definedName name="wrn.REVSUMMARY." localSheetId="0" hidden="1">{"commiss",#N/A,FALSE,"chgdbsz.XLS";"reven",#N/A,FALSE,"chgdbsz.XLS"}</definedName>
    <definedName name="wrn.REVSUMMARY." hidden="1">{"commiss",#N/A,FALSE,"chgdbsz.XLS";"reven",#N/A,FALSE,"chgdbsz.XLS"}</definedName>
    <definedName name="wrn.Riverwood_comp_model." localSheetId="0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bert." localSheetId="0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ll._.Up._.Fields." localSheetId="0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SAA94TAX.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 localSheetId="0" hidden="1">{#N/A,#N/A,FALSE,"Marketing";#N/A,#N/A,FALSE,"Selling";#N/A,#N/A,FALSE,"Promotional";#N/A,#N/A,FALSE,"Advertising"}</definedName>
    <definedName name="wrn.Sales." hidden="1">{#N/A,#N/A,FALSE,"Marketing";#N/A,#N/A,FALSE,"Selling";#N/A,#N/A,FALSE,"Promotional";#N/A,#N/A,FALSE,"Advertising"}</definedName>
    <definedName name="wrn.Sales._.Info._.Centre.Phase3" localSheetId="0" hidden="1">{"Short Sales and Info",#N/A,FALSE,"Sales &amp; Info Centre"}</definedName>
    <definedName name="wrn.Sales._.Info._.Centre.Phase3" hidden="1">{"Short Sales and Info",#N/A,FALSE,"Sales &amp; Info Centre"}</definedName>
    <definedName name="wrn.Sales._.n._.Info._.v._.Budget.Phase3" localSheetId="0" hidden="1">{"Summary Sheet",#N/A,FALSE,"SalesInfo vs Budget"}</definedName>
    <definedName name="wrn.Sales._.n._.Info._.v._.Budget.Phase3" hidden="1">{"Summary Sheet",#N/A,FALSE,"SalesInfo vs Budget"}</definedName>
    <definedName name="wrn.Sales._1" localSheetId="0" hidden="1">{#N/A,#N/A,FALSE,"Marketing";#N/A,#N/A,FALSE,"Selling";#N/A,#N/A,FALSE,"Promotional";#N/A,#N/A,FALSE,"Advertising"}</definedName>
    <definedName name="wrn.Sales._1" hidden="1">{#N/A,#N/A,FALSE,"Marketing";#N/A,#N/A,FALSE,"Selling";#N/A,#N/A,FALSE,"Promotional";#N/A,#N/A,FALSE,"Advertising"}</definedName>
    <definedName name="wrn.sales._from_DBAB_1" localSheetId="0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localSheetId="0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localSheetId="0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2" localSheetId="0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2" localSheetId="0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3" localSheetId="0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4" localSheetId="0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5" localSheetId="0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mple." localSheetId="0" hidden="1">{"sample",#N/A,FALSE,"Client Input Sheet"}</definedName>
    <definedName name="wrn.sample." hidden="1">{"sample",#N/A,FALSE,"Client Input Sheet"}</definedName>
    <definedName name="wrn.San._.Pedro." localSheetId="0" hidden="1">{#N/A,#N/A,FALSE,"San Pedro"}</definedName>
    <definedName name="wrn.San._.Pedro." hidden="1">{#N/A,#N/A,FALSE,"San Pedro"}</definedName>
    <definedName name="wrn.Sapere." localSheetId="0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chedules." localSheetId="0" hidden="1">{"schedule1",#N/A,FALSE,"Sheet1";"schedule2",#N/A,FALSE,"Sheet1";"schedule3",#N/A,FALSE,"Sheet1";"schedule4",#N/A,FALSE,"Sheet1";"schedule5",#N/A,FALSE,"Sheet1";"schedule6",#N/A,FALSE,"Sheet1"}</definedName>
    <definedName name="wrn.schedules." hidden="1">{#N/A,#N/A,FALSE,"Domestic";#N/A,#N/A,FALSE,"Offshore";#N/A,#N/A,FALSE,"Employee";#N/A,#N/A,FALSE,"summary";#N/A,#N/A,FALSE,"summary 1";#N/A,#N/A,FALSE,"GP prorata"}</definedName>
    <definedName name="wrn.SemiAnnual._.Projections." localSheetId="0" hidden="1">{"ProjectionsSheet",#N/A,FALSE,"Projections"}</definedName>
    <definedName name="wrn.SemiAnnual._.Projections." hidden="1">{"ProjectionsSheet",#N/A,FALSE,"Projections"}</definedName>
    <definedName name="wrn.SemiAnnual._.Projections.dv" localSheetId="0" hidden="1">{"ProjectionsSheet",#N/A,FALSE,"Projections"}</definedName>
    <definedName name="wrn.SemiAnnual._.Projections.dv" hidden="1">{"ProjectionsSheet",#N/A,FALSE,"Projections"}</definedName>
    <definedName name="wrn.sens." localSheetId="0" hidden="1">{#N/A,#N/A,FALSE,"Sensitivities";#N/A,#N/A,FALSE,"Sensitivities2"}</definedName>
    <definedName name="wrn.sens." hidden="1">{#N/A,#N/A,FALSE,"Sensitivities";#N/A,#N/A,FALSE,"Sensitivities2"}</definedName>
    <definedName name="wrn.sensitivity." localSheetId="0" hidden="1">{"sensitivity",#N/A,FALSE,"Sensitivity"}</definedName>
    <definedName name="wrn.sensitivity." hidden="1">{"sensitivity",#N/A,FALSE,"Sensitivity"}</definedName>
    <definedName name="wrn.sensitivity._.analyses." localSheetId="0" hidden="1">{"general",#N/A,FALSE,"Assumptions"}</definedName>
    <definedName name="wrn.sensitivity._.analyses." hidden="1">{"general",#N/A,FALSE,"Assumptions"}</definedName>
    <definedName name="wrn.SensitivityA." localSheetId="0" hidden="1">{"EquityA",#N/A,FALSE,"Sensitivity_Graphs"}</definedName>
    <definedName name="wrn.SensitivityA." hidden="1">{"EquityA",#N/A,FALSE,"Sensitivity_Graphs"}</definedName>
    <definedName name="wrn.sep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sep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sept" localSheetId="0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wrn.sept" hidden="1">{"en_tete",#N/A,FALSE,"Index";#N/A,#N/A,FALSE,"Manual Chek lists";#N/A,#N/A,FALSE,"P.-0";#N/A,#N/A,FALSE,"P.-1";#N/A,#N/A,FALSE,"P.- 2a";#N/A,#N/A,FALSE,"P.- 2b";#N/A,#N/A,FALSE,"P.- 3";#N/A,#N/A,FALSE,"P.- 4";#N/A,#N/A,FALSE,"B.-4b";#N/A,#N/A,FALSE,"B.-8";#N/A,#N/A,FALSE,"P.- 5";#N/A,#N/A,FALSE,"P. -6"}</definedName>
    <definedName name="wrn.sept." localSheetId="0" hidden="1">{"en_tete",#N/A,FALSE,"Index";"vue",#N/A,FALSE,"P.-0";#N/A,#N/A,FALSE,"P.-1";#N/A,#N/A,FALSE,"P.- 2a";#N/A,#N/A,FALSE,"P.- 3";#N/A,#N/A,FALSE,"P.- 4";#N/A,#N/A,FALSE,"B.-4b";#N/A,#N/A,FALSE,"B.-8"}</definedName>
    <definedName name="wrn.sept." hidden="1">{"en_tete",#N/A,FALSE,"Index";"vue",#N/A,FALSE,"P.-0";#N/A,#N/A,FALSE,"P.-1";#N/A,#N/A,FALSE,"P.- 2a";#N/A,#N/A,FALSE,"P.- 3";#N/A,#N/A,FALSE,"P.- 4";#N/A,#N/A,FALSE,"B.-4b";#N/A,#N/A,FALSE,"B.-8"}</definedName>
    <definedName name="wrn.sept._1" localSheetId="0" hidden="1">{"en_tete",#N/A,FALSE,"Index";"vue",#N/A,FALSE,"P.-0";#N/A,#N/A,FALSE,"P.-1";#N/A,#N/A,FALSE,"P.- 2a";#N/A,#N/A,FALSE,"P.- 3";#N/A,#N/A,FALSE,"P.- 4";#N/A,#N/A,FALSE,"B.-4b";#N/A,#N/A,FALSE,"B.-8"}</definedName>
    <definedName name="wrn.sept._1" hidden="1">{"en_tete",#N/A,FALSE,"Index";"vue",#N/A,FALSE,"P.-0";#N/A,#N/A,FALSE,"P.-1";#N/A,#N/A,FALSE,"P.- 2a";#N/A,#N/A,FALSE,"P.- 3";#N/A,#N/A,FALSE,"P.- 4";#N/A,#N/A,FALSE,"B.-4b";#N/A,#N/A,FALSE,"B.-8"}</definedName>
    <definedName name="wrn.SFS." localSheetId="0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hareholders._.and._.Employees." localSheetId="0" hidden="1">{#N/A,#N/A,FALSE,"Share the Wealth";#N/A,#N/A,FALSE,"Shareholders vs Employees";#N/A,#N/A,FALSE,"Share vs Emp Summary"}</definedName>
    <definedName name="wrn.Shareholders._.and._.Employees." hidden="1">{#N/A,#N/A,FALSE,"Share the Wealth";#N/A,#N/A,FALSE,"Shareholders vs Employees";#N/A,#N/A,FALSE,"Share vs Emp Summary"}</definedName>
    <definedName name="wrn.SHORT." localSheetId="0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ide._.by._.Side." localSheetId="0" hidden="1">{"Side 99",#N/A,FALSE,"S&amp;U Side by Side"}</definedName>
    <definedName name="wrn.Side._.by._.Side." hidden="1">{"Side 99",#N/A,FALSE,"S&amp;U Side by Side"}</definedName>
    <definedName name="wrn.Sierra." localSheetId="0" hidden="1">{#N/A,#N/A,FALSE,"OXHP"}</definedName>
    <definedName name="wrn.Sierra." hidden="1">{#N/A,#N/A,FALSE,"OXHP"}</definedName>
    <definedName name="wrn.SIMPSONS." localSheetId="0" hidden="1">{"SPSPG1",#N/A,FALSE,"1995";"SPSPG2",#N/A,FALSE,"1995";"SPSPG3",#N/A,FALSE,"1995"}</definedName>
    <definedName name="wrn.SIMPSONS." hidden="1">{"SPSPG1",#N/A,FALSE,"1995";"SPSPG2",#N/A,FALSE,"1995";"SPSPG3",#N/A,FALSE,"1995"}</definedName>
    <definedName name="wrn.single._.scenario." localSheetId="0" hidden="1">{#N/A,#N/A,FALSE,"trans summary";#N/A,#N/A,FALSE,"EPS summary";"Est. 1997",#N/A,FALSE,"Inc";"Est. 1998",#N/A,FALSE,"Inc";"Est. 1999",#N/A,FALSE,"Inc";#N/A,#N/A,FALSE,"Bal"}</definedName>
    <definedName name="wrn.single._.scenario." hidden="1">{#N/A,#N/A,FALSE,"trans summary";#N/A,#N/A,FALSE,"EPS summary";"Est. 1997",#N/A,FALSE,"Inc";"Est. 1998",#N/A,FALSE,"Inc";"Est. 1999",#N/A,FALSE,"Inc";#N/A,#N/A,FALSE,"Bal"}</definedName>
    <definedName name="wrn.SKSCS1.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M._.PARTS._.LIST." localSheetId="0" hidden="1">{#N/A,#N/A,TRUE,"SM2";#N/A,#N/A,TRUE,"SM2 (2)"}</definedName>
    <definedName name="wrn.SM._.PARTS._.LIST." hidden="1">{#N/A,#N/A,TRUE,"SM2";#N/A,#N/A,TRUE,"SM2 (2)"}</definedName>
    <definedName name="wrn.smuck." localSheetId="0" hidden="1">{#N/A,#N/A,FALSE,"1FCST";#N/A,#N/A,FALSE,"2VAR";#N/A,#N/A,FALSE,"3REV";#N/A,#N/A,FALSE,"4MARG";#N/A,#N/A,FALSE,"5RSEG";#N/A,#N/A,FALSE,"6TARG";#N/A,#N/A,FALSE,"7EXP";#N/A,#N/A,FALSE,"83Q97";#N/A,#N/A,FALSE,"84Q97";#N/A,#N/A,FALSE,"81Q98";#N/A,#N/A,FALSE,"82Q98";#N/A,#N/A,FALSE,"83Q98";#N/A,#N/A,FALSE,"84Q98";#N/A,#N/A,FALSE,"81Q99";#N/A,#N/A,FALSE,"Sheet16"}</definedName>
    <definedName name="wrn.smuck." hidden="1">{#N/A,#N/A,FALSE,"1FCST";#N/A,#N/A,FALSE,"2VAR";#N/A,#N/A,FALSE,"3REV";#N/A,#N/A,FALSE,"4MARG";#N/A,#N/A,FALSE,"5RSEG";#N/A,#N/A,FALSE,"6TARG";#N/A,#N/A,FALSE,"7EXP";#N/A,#N/A,FALSE,"83Q97";#N/A,#N/A,FALSE,"84Q97";#N/A,#N/A,FALSE,"81Q98";#N/A,#N/A,FALSE,"82Q98";#N/A,#N/A,FALSE,"83Q98";#N/A,#N/A,FALSE,"84Q98";#N/A,#N/A,FALSE,"81Q99";#N/A,#N/A,FALSE,"Sheet16"}</definedName>
    <definedName name="wrn.Soft._.Drinks." localSheetId="0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LES." localSheetId="0" hidden="1">{"P&amp;L SOLES",#N/A,FALSE,"PL REPROG";"P&amp;L ORIGINAL SOLES",#N/A,FALSE,"PL REPROG";"EXPLICATIVO LC",#N/A,FALSE,"PL EXPLICAT.";"VARIACION TRIMESTRAL LC",#N/A,FALSE,"PL VARIAC TRIM";"MONTH LC",#N/A,FALSE,"MONTH";"YTD LC",#N/A,FALSE,"YTD";"FULL YEAR LC",#N/A,FALSE,"FULL YEAR";"FORECAST SOLES",#N/A,FALSE,"FULL YEAR";"REMAINING MONTHS SOLES",#N/A,FALSE,"2DO SEMESTRE";"PRICE VARIANCE ANALYSIS",#N/A,FALSE,"PRICE VARIANCE ANALYSIS";"OPERATING INCOME ANALISYS SOLES",#N/A,FALSE,"OPER INC VAR ANALISYS";"NET INCOME ANALISYS SOLES",#N/A,FALSE,"OPER INC VAR ANALISYS";"FCF FULL YEAR SOLES",#N/A,FALSE,"FREE CASH FLOW";"FCF YTD SOLES",#N/A,FALSE,"FREE CASH FLOW";"NET FCF SOLES",#N/A,FALSE,"FREE CASH FLOW (2)";"SUSTENTO SOLES",#N/A,FALSE,"PL REPROG"}</definedName>
    <definedName name="wrn.SOLES." hidden="1">{"P&amp;L SOLES",#N/A,FALSE,"PL REPROG";"P&amp;L ORIGINAL SOLES",#N/A,FALSE,"PL REPROG";"EXPLICATIVO LC",#N/A,FALSE,"PL EXPLICAT.";"VARIACION TRIMESTRAL LC",#N/A,FALSE,"PL VARIAC TRIM";"MONTH LC",#N/A,FALSE,"MONTH";"YTD LC",#N/A,FALSE,"YTD";"FULL YEAR LC",#N/A,FALSE,"FULL YEAR";"FORECAST SOLES",#N/A,FALSE,"FULL YEAR";"REMAINING MONTHS SOLES",#N/A,FALSE,"2DO SEMESTRE";"PRICE VARIANCE ANALYSIS",#N/A,FALSE,"PRICE VARIANCE ANALYSIS";"OPERATING INCOME ANALISYS SOLES",#N/A,FALSE,"OPER INC VAR ANALISYS";"NET INCOME ANALISYS SOLES",#N/A,FALSE,"OPER INC VAR ANALISYS";"FCF FULL YEAR SOLES",#N/A,FALSE,"FREE CASH FLOW";"FCF YTD SOLES",#N/A,FALSE,"FREE CASH FLOW";"NET FCF SOLES",#N/A,FALSE,"FREE CASH FLOW (2)";"SUSTENTO SOLES",#N/A,FALSE,"PL REPROG"}</definedName>
    <definedName name="wrn.Staff._.cost1998." localSheetId="0" hidden="1">{#N/A,#N/A,TRUE,"Staffnos &amp; cost"}</definedName>
    <definedName name="wrn.Staff._.cost1998." hidden="1">{#N/A,#N/A,TRUE,"Staffnos &amp; cost"}</definedName>
    <definedName name="wrn.Staffcost." localSheetId="0" hidden="1">{#N/A,#N/A,FALSE,"Staffnos &amp; cost"}</definedName>
    <definedName name="wrn.Staffcost." hidden="1">{#N/A,#N/A,FALSE,"Staffnos &amp; cost"}</definedName>
    <definedName name="wrn.Staffing." localSheetId="0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1" localSheetId="0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ge._.1._.Short.Phase3" localSheetId="0" hidden="1">{"Short Stage 1",#N/A,FALSE,"Stage 1"}</definedName>
    <definedName name="wrn.Stage._.1._.Short.Phase3" hidden="1">{"Short Stage 1",#N/A,FALSE,"Stage 1"}</definedName>
    <definedName name="wrn.Stage._.2._.Short.Phase3" localSheetId="0" hidden="1">{"Short Stage 2",#N/A,FALSE,"Stage 2"}</definedName>
    <definedName name="wrn.Stage._.2._.Short.Phase3" hidden="1">{"Short Stage 2",#N/A,FALSE,"Stage 2"}</definedName>
    <definedName name="wrn.Stage._.3.Phase3" localSheetId="0" hidden="1">{"Short Stage 3",#N/A,FALSE,"Stage 3"}</definedName>
    <definedName name="wrn.Stage._.3.Phase3" hidden="1">{"Short Stage 3",#N/A,FALSE,"Stage 3"}</definedName>
    <definedName name="wrn.Stage._.3BCD._.Report." localSheetId="0" hidden="1">{#N/A,#N/A,FALSE,"Database"}</definedName>
    <definedName name="wrn.Stage._.3BCD._.Report." hidden="1">{#N/A,#N/A,FALSE,"Database"}</definedName>
    <definedName name="wrn.Stage._.4.Phase3" localSheetId="0" hidden="1">{"Short Stage 4",#N/A,FALSE,"Stage 4"}</definedName>
    <definedName name="wrn.Stage._.4.Phase3" hidden="1">{"Short Stage 4",#N/A,FALSE,"Stage 4"}</definedName>
    <definedName name="wrn.Stage._.5.Phase3" localSheetId="0" hidden="1">{"Short Stage 5",#N/A,FALSE,"Stage 5"}</definedName>
    <definedName name="wrn.Stage._.5.Phase3" hidden="1">{"Short Stage 5",#N/A,FALSE,"Stage 5"}</definedName>
    <definedName name="wrn.Staley." localSheetId="0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wrn.Staley.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wrn.stand_alone." localSheetId="0" hidden="1">{#N/A,#N/A,FALSE,"CBE";#N/A,#N/A,FALSE,"SWK"}</definedName>
    <definedName name="wrn.stand_alone." hidden="1">{#N/A,#N/A,FALSE,"CBE";#N/A,#N/A,FALSE,"SWK"}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andard._.Reports." localSheetId="0" hidden="1">{#N/A,#N/A,FALSE,"Books";#N/A,#N/A,FALSE,"Barge";#N/A,#N/A,FALSE,"Insurance";#N/A,#N/A,FALSE,"Consolidated"}</definedName>
    <definedName name="wrn.Standard._.Reports." hidden="1">{#N/A,#N/A,FALSE,"Books";#N/A,#N/A,FALSE,"Barge";#N/A,#N/A,FALSE,"Insurance";#N/A,#N/A,FALSE,"Consolidated"}</definedName>
    <definedName name="wrn.Statements." localSheetId="0" hidden="1">{"Assumptions",#N/A,FALSE,"Chicago";"Cash",#N/A,FALSE,"Chicago";"Income",#N/A,FALSE,"Chicago";"Balance",#N/A,FALSE,"Chicago"}</definedName>
    <definedName name="wrn.Statements." hidden="1">{"Assumptions",#N/A,FALSE,"Chicago";"Cash",#N/A,FALSE,"Chicago";"Income",#N/A,FALSE,"Chicago";"Balance",#N/A,FALSE,"Chicago"}</definedName>
    <definedName name="wrn.STMT._.OF._.CASH._.FLOWS." localSheetId="0" hidden="1">{"STMT OF CASH FLOWS",#N/A,FALSE,"Cash Flows Indirect"}</definedName>
    <definedName name="wrn.STMT._.OF._.CASH._.FLOWS." hidden="1">{"STMT OF CASH FLOWS",#N/A,FALSE,"Cash Flows Indirect"}</definedName>
    <definedName name="wrn.SUBREGION." localSheetId="0" hidden="1">{"SUBREGION",#N/A,FALSE,"CNTRYTYPE"}</definedName>
    <definedName name="wrn.SUBREGION." hidden="1">{"SUBREGION",#N/A,FALSE,"CNTRYTYPE"}</definedName>
    <definedName name="wrn.SUM._.OF._.UNIT._.3." localSheetId="0" hidden="1">{#N/A,#N/A,FALSE,"INPUTDATA";#N/A,#N/A,FALSE,"SUMMARY";#N/A,#N/A,FALSE,"CTAREP";#N/A,#N/A,FALSE,"CTBREP";#N/A,#N/A,FALSE,"PMG4ST86";#N/A,#N/A,FALSE,"TURBEFF";#N/A,#N/A,FALSE,"Condenser Performance"}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_mth.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wrn.sum_mth.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wrn.summaries." localSheetId="0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0" hidden="1">{"summ",#N/A,TRUE,"Summ";"cash 20",#N/A,TRUE,"Cash"}</definedName>
    <definedName name="wrn.summary." hidden="1">{"summ",#N/A,TRUE,"Summ";"cash 20",#N/A,TRUE,"Cash"}</definedName>
    <definedName name="wrn.summary.." localSheetId="0" hidden="1">{#N/A,#N/A,TRUE,"KEY DATA";#N/A,#N/A,TRUE,"KEY DATA Base Case";#N/A,#N/A,TRUE,"JULY";#N/A,#N/A,TRUE,"AUG";#N/A,#N/A,TRUE,"SEPT";#N/A,#N/A,TRUE,"3Q"}</definedName>
    <definedName name="wrn.summary.." hidden="1">{#N/A,#N/A,TRUE,"KEY DATA";#N/A,#N/A,TRUE,"KEY DATA Base Case";#N/A,#N/A,TRUE,"JULY";#N/A,#N/A,TRUE,"AUG";#N/A,#N/A,TRUE,"SEPT";#N/A,#N/A,TRUE,"3Q"}</definedName>
    <definedName name="wrn.Summary._.Output." localSheetId="0" hidden="1">{#N/A,#N/A,FALSE,"Title";#N/A,#N/A,FALSE,"Inputs";#N/A,#N/A,FALSE,"Impact"}</definedName>
    <definedName name="wrn.Summary._.Output." hidden="1">{#N/A,#N/A,FALSE,"Title";#N/A,#N/A,FALSE,"Inputs";#N/A,#N/A,FALSE,"Impact"}</definedName>
    <definedName name="wrn.Summary._.Projections." localSheetId="0" hidden="1">{#N/A,#N/A,FALSE,"Summary - Forte";#N/A,#N/A,FALSE,"Summary - ITT"}</definedName>
    <definedName name="wrn.Summary._.Projections." hidden="1">{#N/A,#N/A,FALSE,"Summary - Forte";#N/A,#N/A,FALSE,"Summary - ITT"}</definedName>
    <definedName name="wrn.Summary._.Report." localSheetId="0" hidden="1">{#N/A,#N/A,FALSE,"OVERVIEW";#N/A,#N/A,FALSE,"Position, %";#N/A,#N/A,FALSE,"ACCT919";#N/A,#N/A,FALSE,"ACCT920";#N/A,#N/A,FALSE,"MAD BOMBER"}</definedName>
    <definedName name="wrn.Summary._.Report." hidden="1">{#N/A,#N/A,FALSE,"OVERVIEW";#N/A,#N/A,FALSE,"Position, %";#N/A,#N/A,FALSE,"ACCT919";#N/A,#N/A,FALSE,"ACCT920";#N/A,#N/A,FALSE,"MAD BOMBER"}</definedName>
    <definedName name="wrn.summary._.schedules." localSheetId="0" hidden="1">{"summary1",#N/A,FALSE,"Summary of Values";"summary2",#N/A,FALSE,"Summary of Values"}</definedName>
    <definedName name="wrn.summary._.schedules." hidden="1">{"summary1",#N/A,FALSE,"Summary of Values";"summary2",#N/A,FALSE,"Summary of Values"}</definedName>
    <definedName name="wrn.Summary._.with._.short._.outputs.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Pgs." localSheetId="0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localSheetId="0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mmaryReport." hidden="1">{"Header",#N/A,TRUE,"Summary";"ProjectInfo",#N/A,TRUE,"Total Value"}</definedName>
    <definedName name="wrn.summit.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1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nmicro." localSheetId="0" hidden="1">{#N/A,#N/A,FALSE,"FREEMAN";#N/A,#N/A,FALSE,"STEPHEN";#N/A,#N/A,FALSE,"VICTOR"}</definedName>
    <definedName name="wrn.sunmicro." hidden="1">{#N/A,#N/A,FALSE,"FREEMAN";#N/A,#N/A,FALSE,"STEPHEN";#N/A,#N/A,FALSE,"VICTOR"}</definedName>
    <definedName name="wrn.SUPP_SCHD." localSheetId="0" hidden="1">{#N/A,#N/A,TRUE,"A";#N/A,#N/A,TRUE,"B";#N/A,#N/A,TRUE,"C";#N/A,#N/A,TRUE,"D";#N/A,#N/A,TRUE,"E"}</definedName>
    <definedName name="wrn.SUPP_SCHD." hidden="1">{#N/A,#N/A,TRUE,"A";#N/A,#N/A,TRUE,"B";#N/A,#N/A,TRUE,"C";#N/A,#N/A,TRUE,"D";#N/A,#N/A,TRUE,"E"}</definedName>
    <definedName name="wrn.Supplemental_Reports." localSheetId="0" hidden="1">{#N/A,#N/A,FALSE,"Report Data";#N/A,#N/A,FALSE,"COMP POOL";#N/A,#N/A,FALSE,"COMP POOL NB95";#N/A,#N/A,FALSE,"COMP POOL NB94"}</definedName>
    <definedName name="wrn.Supplemental_Reports." hidden="1">{#N/A,#N/A,FALSE,"Report Data";#N/A,#N/A,FALSE,"COMP POOL";#N/A,#N/A,FALSE,"COMP POOL NB95";#N/A,#N/A,FALSE,"COMP POOL NB94"}</definedName>
    <definedName name="wrn.Support." localSheetId="0" hidden="1">{#N/A,#N/A,FALSE,"TRIAL INPUT";#N/A,#N/A,FALSE,"AVG INPUT COPY";#N/A,#N/A,FALSE,"INVESTMENTS_INPUT"}</definedName>
    <definedName name="wrn.Support." hidden="1">{#N/A,#N/A,FALSE,"TRIAL INPUT";#N/A,#N/A,FALSE,"AVG INPUT COPY";#N/A,#N/A,FALSE,"INVESTMENTS_INPUT"}</definedName>
    <definedName name="wrn.surveillance." localSheetId="0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weet." localSheetId="0" hidden="1">{"sweet",#N/A,FALSE,"CNTRYTYPE"}</definedName>
    <definedName name="wrn.sweet." hidden="1">{"sweet",#N/A,FALSE,"CNTRYTYPE"}</definedName>
    <definedName name="wrn.t_cash." localSheetId="0" hidden="1">{"cash_tes",#N/A,FALSE,"dec95cr.xls"}</definedName>
    <definedName name="wrn.t_cash." hidden="1">{"cash_tes",#N/A,FALSE,"dec95cr.xls"}</definedName>
    <definedName name="wrn.Tables." localSheetId="0" hidden="1">{"Current",#N/A,FALSE,"Currentcal";"Current B",#N/A,FALSE,"Currentcal";"Constant",#N/A,FALSE,"Constantcal";"Constant B",#N/A,FALSE,"Constantcal"}</definedName>
    <definedName name="wrn.Tables." hidden="1">{"Current",#N/A,FALSE,"Currentcal";"Current B",#N/A,FALSE,"Currentcal";"Constant",#N/A,FALSE,"Constantcal";"Constant B",#N/A,FALSE,"Constantcal"}</definedName>
    <definedName name="wrn.Tables._.and._.Support." localSheetId="0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ihing.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1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1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GET._.DCF._from_DBAB_1" localSheetId="0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localSheetId="0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localSheetId="0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2" localSheetId="0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2" localSheetId="0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3" localSheetId="0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4" localSheetId="0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5" localSheetId="0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LBO.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0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Val." localSheetId="0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iff._.Analysis." localSheetId="0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localSheetId="0" hidden="1">{"Tariff Comparison",#N/A,FALSE,"Benchmarking";"Tariff Comparison 2",#N/A,FALSE,"Benchmarking";"Tariff Comparison 3",#N/A,FALSE,"Benchmarking"}</definedName>
    <definedName name="wrn.Tariff._.Comaprison." hidden="1">{"Tariff Comparison",#N/A,FALSE,"Benchmarking";"Tariff Comparison 2",#N/A,FALSE,"Benchmarking";"Tariff Comparison 3",#N/A,FALSE,"Benchmarking"}</definedName>
    <definedName name="wrn.TAX._.COMPUTATION." localSheetId="0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B._.ALL._.ACCTS." localSheetId="0" hidden="1">{"BALANCE SHEET ACCTS",#N/A,TRUE,"Working Trial Balance";"INCOME STMT ACCTS",#N/A,TRUE,"Working Trial Balance"}</definedName>
    <definedName name="wrn.TB._.ALL._.ACCTS." hidden="1">{"BALANCE SHEET ACCTS",#N/A,TRUE,"Working Trial Balance";"INCOME STMT ACCTS",#N/A,TRUE,"Working Trial Balance"}</definedName>
    <definedName name="wrn.TB._.BALANCE._.SHEET." localSheetId="0" hidden="1">{"BALANCE SHEET ACCTS",#N/A,FALSE,"Working Trial Balance"}</definedName>
    <definedName name="wrn.TB._.BALANCE._.SHEET." hidden="1">{"BALANCE SHEET ACCTS",#N/A,FALSE,"Working Trial Balance"}</definedName>
    <definedName name="wrn.TB._.EXPLANATIONS." localSheetId="0" hidden="1">{"EXPLANATIONS",#N/A,FALSE,"Working Trial Balance"}</definedName>
    <definedName name="wrn.TB._.EXPLANATIONS." hidden="1">{"EXPLANATIONS",#N/A,FALSE,"Working Trial Balance"}</definedName>
    <definedName name="wrn.TB._.INCOME._.STMT." localSheetId="0" hidden="1">{"INCOME STMT ACCTS",#N/A,FALSE,"Working Trial Balance"}</definedName>
    <definedName name="wrn.TB._.INCOME._.STMT." hidden="1">{"INCOME STMT ACCTS",#N/A,FALSE,"Working Trial Balance"}</definedName>
    <definedName name="wrn.TBfichesA." localSheetId="0" hidden="1">{#N/A,#N/A,FALSE,"A1";#N/A,#N/A,FALSE,"A2";#N/A,#N/A,FALSE,"A3A";#N/A,#N/A,FALSE,"A3B"}</definedName>
    <definedName name="wrn.TBfichesA." hidden="1">{#N/A,#N/A,FALSE,"A1";#N/A,#N/A,FALSE,"A2";#N/A,#N/A,FALSE,"A3A";#N/A,#N/A,FALSE,"A3B"}</definedName>
    <definedName name="wrn.technology.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CO." localSheetId="0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ecom." localSheetId="0" hidden="1">{#N/A,#N/A,FALSE,"EARNINGS";#N/A,#N/A,FALSE,"BALANCE";#N/A,#N/A,FALSE,"CASHFLOW"}</definedName>
    <definedName name="wrn.telecom." hidden="1">{#N/A,#N/A,FALSE,"EARNINGS";#N/A,#N/A,FALSE,"BALANCE";#N/A,#N/A,FALSE,"CASHFLOW"}</definedName>
    <definedName name="wrn.TEMP.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O." localSheetId="0" hidden="1">{#N/A,#N/A,FALSE,"EARNINGS";#N/A,#N/A,FALSE,"BALANCE";#N/A,#N/A,FALSE,"CASHFLOW"}</definedName>
    <definedName name="wrn.TEO." hidden="1">{#N/A,#N/A,FALSE,"EARNINGS";#N/A,#N/A,FALSE,"BALANCE";#N/A,#N/A,FALSE,"CASHFLOW"}</definedName>
    <definedName name="wrn.test." localSheetId="0" hidden="1">{"Cash Flow",#N/A,FALSE,"Cash Flow"}</definedName>
    <definedName name="wrn.test." hidden="1">{"Cash Flow",#N/A,FALSE,"Cash Flow"}</definedName>
    <definedName name="wrn.test1." localSheetId="0" hidden="1">{"Income Statement",#N/A,FALSE,"CFMODEL";"Balance Sheet",#N/A,FALSE,"CFMODEL"}</definedName>
    <definedName name="wrn.test1." hidden="1">{"Income Statement",#N/A,FALSE,"CFMODEL";"Balance Sheet",#N/A,FALSE,"CFMODEL"}</definedName>
    <definedName name="wrn.test2." localSheetId="0" hidden="1">{"SourcesUses",#N/A,TRUE,"CFMODEL";"TransOverview",#N/A,TRUE,"CFMODEL"}</definedName>
    <definedName name="wrn.test2." hidden="1">{"SourcesUses",#N/A,TRUE,"CFMODEL";"TransOverview",#N/A,TRUE,"CFMODEL"}</definedName>
    <definedName name="wrn.test3." localSheetId="0" hidden="1">{"SourcesUses",#N/A,TRUE,#N/A;"TransOverview",#N/A,TRUE,"CFMODEL"}</definedName>
    <definedName name="wrn.test3." hidden="1">{"SourcesUses",#N/A,TRUE,#N/A;"TransOverview",#N/A,TRUE,"CFMODEL"}</definedName>
    <definedName name="wrn.test4." localSheetId="0" hidden="1">{"SourcesUses",#N/A,TRUE,"FundsFlow";"TransOverview",#N/A,TRUE,"FundsFlow"}</definedName>
    <definedName name="wrn.test4." hidden="1">{"SourcesUses",#N/A,TRUE,"FundsFlow";"TransOverview",#N/A,TRUE,"FundsFlow"}</definedName>
    <definedName name="wrn.TheWholeEnchilada." localSheetId="0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omas_Case." localSheetId="0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._.Budget." localSheetId="0" hidden="1">{"7-Year Pro Forma",#N/A,FALSE,"Prof";"Statistics",#N/A,FALSE,"Stats"}</definedName>
    <definedName name="wrn.THR._.Budget." hidden="1">{"7-Year Pro Forma",#N/A,FALSE,"Prof";"Statistics",#N/A,FALSE,"Stats"}</definedName>
    <definedName name="wrn.tiger.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localSheetId="0" hidden="1">{#N/A,#N/A,FALSE,"TAXC.INDEX";#N/A,#N/A,FALSE,"Schedule I";#N/A,#N/A,FALSE,"Schedule  II";#N/A,#N/A,FALSE,"Schedule III"}</definedName>
    <definedName name="wrn.tigertax." hidden="1">{#N/A,#N/A,FALSE,"TAXC.INDEX";#N/A,#N/A,FALSE,"Schedule I";#N/A,#N/A,FALSE,"Schedule  II";#N/A,#N/A,FALSE,"Schedule III"}</definedName>
    <definedName name="wrn.tigertax.1" localSheetId="0" hidden="1">{#N/A,#N/A,FALSE,"TAXC.INDEX";#N/A,#N/A,FALSE,"Schedule I";#N/A,#N/A,FALSE,"Schedule  II";#N/A,#N/A,FALSE,"Schedule III"}</definedName>
    <definedName name="wrn.tigertax.1" hidden="1">{#N/A,#N/A,FALSE,"TAXC.INDEX";#N/A,#N/A,FALSE,"Schedule I";#N/A,#N/A,FALSE,"Schedule  II";#N/A,#N/A,FALSE,"Schedule III"}</definedName>
    <definedName name="wrn.tobacco." localSheetId="0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localSheetId="0" hidden="1">{"income",#N/A,FALSE,"TOBACCO";"value",#N/A,FALSE,"TOBACCO";"assum1",#N/A,FALSE,"TOBACCO"}</definedName>
    <definedName name="wrn.tobsum." hidden="1">{"income",#N/A,FALSE,"TOBACCO";"value",#N/A,FALSE,"TOBACCO";"assum1",#N/A,FALSE,"TOBACCO"}</definedName>
    <definedName name="wrn.todo.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localSheetId="0" hidden="1">{"toptrial",#N/A,TRUE,"toptrial";"adjustment",#N/A,TRUE,"toptrial";"voucher",#N/A,TRUE,"toptrial"}</definedName>
    <definedName name="wrn.toptrial." hidden="1">{"toptrial",#N/A,TRUE,"toptrial";"adjustment",#N/A,TRUE,"toptrial";"voucher",#N/A,TRUE,"toptrial"}</definedName>
    <definedName name="wrn.TOTAL." localSheetId="0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hidden="1">{#N/A,#N/A,FALSE,"IS";#N/A,#N/A,FALSE,"BS";#N/A,#N/A,FALSE,"CF";#N/A,#N/A,FALSE,"CE";#N/A,#N/A,FALSE,"Depr";#N/A,#N/A,FALSE,"APAL"}</definedName>
    <definedName name="wrn.Total._.Proved." localSheetId="0" hidden="1">{"Total",#N/A,FALSE,"Reserve Report";"HPDP",#N/A,FALSE,"Reserve Report";"PPDP",#N/A,FALSE,"Reserve Report";"PDNP",#N/A,FALSE,"Reserve Report";"PUD",#N/A,FALSE,"Reserve Report"}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comp." localSheetId="0" hidden="1">{"comp1",#N/A,FALSE,"COMPS";"footnotes",#N/A,FALSE,"COMPS"}</definedName>
    <definedName name="wrn.totalcomp." hidden="1">{"comp1",#N/A,FALSE,"COMPS";"footnotes",#N/A,FALSE,"COMPS"}</definedName>
    <definedName name="wrn.Totar." localSheetId="0" hidden="1">{"Totax",#N/A,FALSE,"Sheet1";#N/A,#N/A,FALSE,"Law Output"}</definedName>
    <definedName name="wrn.Totar." hidden="1">{"Totax",#N/A,FALSE,"Sheet1";#N/A,#N/A,FALSE,"Law Output"}</definedName>
    <definedName name="wrn.tout." localSheetId="0" hidden="1">{#N/A,#N/A,FALSE,"somm (4)";#N/A,#N/A,FALSE,"PAGE3";#N/A,#N/A,FALSE,"Pape4";#N/A,#N/A,FALSE,"Page5";#N/A,#N/A,FALSE,"PAGE6";#N/A,#N/A,FALSE,"Page7";#N/A,#N/A,FALSE,"Page8";#N/A,#N/A,FALSE,"Page9";#N/A,#N/A,FALSE,"PAGE10";#N/A,#N/A,FALSE,"Page11";#N/A,#N/A,FALSE,"page12";#N/A,#N/A,FALSE,"page13";#N/A,#N/A,FALSE,"PAGE14";#N/A,#N/A,FALSE,"Page15";#N/A,#N/A,FALSE,"Page16";#N/A,#N/A,FALSE,"Page17";#N/A,#N/A,FALSE,"Page18";#N/A,#N/A,FALSE,"Page19";#N/A,#N/A,FALSE,"Page20";#N/A,#N/A,FALSE,"PAGE21";#N/A,#N/A,FALSE,"Page22à25";#N/A,#N/A,FALSE,"Page26";#N/A,#N/A,FALSE,"Page27";#N/A,#N/A,FALSE,"Page28";#N/A,#N/A,FALSE,"Page29";#N/A,#N/A,FALSE,"Page30";#N/A,#N/A,FALSE,"PAGE31";#N/A,#N/A,FALSE,"Page32à34";#N/A,#N/A,FALSE,"PAGE35";#N/A,#N/A,FALSE,"POUCPG97"}</definedName>
    <definedName name="wrn.tout." hidden="1">{#N/A,#N/A,FALSE,"somm (4)";#N/A,#N/A,FALSE,"PAGE3";#N/A,#N/A,FALSE,"Pape4";#N/A,#N/A,FALSE,"Page5";#N/A,#N/A,FALSE,"PAGE6";#N/A,#N/A,FALSE,"Page7";#N/A,#N/A,FALSE,"Page8";#N/A,#N/A,FALSE,"Page9";#N/A,#N/A,FALSE,"PAGE10";#N/A,#N/A,FALSE,"Page11";#N/A,#N/A,FALSE,"page12";#N/A,#N/A,FALSE,"page13";#N/A,#N/A,FALSE,"PAGE14";#N/A,#N/A,FALSE,"Page15";#N/A,#N/A,FALSE,"Page16";#N/A,#N/A,FALSE,"Page17";#N/A,#N/A,FALSE,"Page18";#N/A,#N/A,FALSE,"Page19";#N/A,#N/A,FALSE,"Page20";#N/A,#N/A,FALSE,"PAGE21";#N/A,#N/A,FALSE,"Page22à25";#N/A,#N/A,FALSE,"Page26";#N/A,#N/A,FALSE,"Page27";#N/A,#N/A,FALSE,"Page28";#N/A,#N/A,FALSE,"Page29";#N/A,#N/A,FALSE,"Page30";#N/A,#N/A,FALSE,"PAGE31";#N/A,#N/A,FALSE,"Page32à34";#N/A,#N/A,FALSE,"PAGE35";#N/A,#N/A,FALSE,"POUCPG97"}</definedName>
    <definedName name="wrn.tout_sauf_present." localSheetId="0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tout_sauf_present.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tout_sauf_present._1" localSheetId="0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tout_sauf_present._1" hidden="1">{"en_tete",#N/A,FALSE,"Index";#N/A,#N/A,FALSE,"P.-0";#N/A,#N/A,FALSE,"P.-1";#N/A,#N/A,FALSE,"P.- 2a";#N/A,#N/A,FALSE,"P.- 2b";#N/A,#N/A,FALSE,"P.- 3";#N/A,#N/A,FALSE,"P.- 4";#N/A,#N/A,FALSE,"B-0";#N/A,#N/A,FALSE,"B.- 1a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1b";#N/A,#N/A,FALSE,"B.- 2";#N/A,#N/A,FALSE,"B.- 3";#N/A,#N/A,FALSE,"B.- 4a";#N/A,#N/A,FALSE,"B.-4b";#N/A,#N/A,FALSE,"B.- 5";#N/A,#N/A,FALSE,"B-6a";#N/A,#N/A,FALSE,"B.-6b";#N/A,#N/A,FALSE,"B.-8";#N/A,#N/A,FALSE,"P.- 5";#N/A,#N/A,FALSE,"P. -6";#N/A,#N/A,FALSE,"P.-7"}</definedName>
    <definedName name="wrn.trademark._.and._.trade._.name." localSheetId="0" hidden="1">{"trademark1",#N/A,FALSE,"Trademark(s) and Trade Name(s)"}</definedName>
    <definedName name="wrn.trademark._.and._.trade._.name." hidden="1">{"trademark1",#N/A,FALSE,"Trademark(s) and Trade Name(s)"}</definedName>
    <definedName name="wrn.trans._.sum." localSheetId="0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TransPrcd_123." localSheetId="0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trends._.and._.budgets." localSheetId="0" hidden="1">{"trend york",#N/A,FALSE,"York";"trend tmr",#N/A,FALSE,"TMR";"trend towson",#N/A,FALSE,"Towson";"trend osler",#N/A,FALSE,"Osler";"trend ellicott",#N/A,FALSE,"Ellicott";"trend columbia",#N/A,FALSE,"Columbia";"trend glen burnie",#N/A,FALSE,"Glen";"trend annap",#N/A,FALSE,"Annap";"trend om",#N/A,FALSE,"OM";"trend wood",#N/A,FALSE,"Woodh";"vs 99 wm",#N/A,FALSE,"WM";"vs 99 green",#N/A,FALSE,"Grnspg";"vs 99 npt",#N/A,FALSE,"NPt";"trend smd mri",#N/A,FALSE,"SMd";"trend ghattas",#N/A,FALSE,"Ghattas";"trend cmic",#N/A,FALSE,"CMIC";"vs 99 dunk",#N/A,FALSE,"Dunkirk";"vs 99 sol",#N/A,FALSE,"Solomons";#N/A,#N/A,FALSE,"Waldorf";"trend col",#N/A,FALSE,"Col";"trend white",#N/A,FALSE,"White"}</definedName>
    <definedName name="wrn.trends._.and._.budgets." hidden="1">{"trend york",#N/A,FALSE,"York";"trend tmr",#N/A,FALSE,"TMR";"trend towson",#N/A,FALSE,"Towson";"trend osler",#N/A,FALSE,"Osler";"trend ellicott",#N/A,FALSE,"Ellicott";"trend columbia",#N/A,FALSE,"Columbia";"trend glen burnie",#N/A,FALSE,"Glen";"trend annap",#N/A,FALSE,"Annap";"trend om",#N/A,FALSE,"OM";"trend wood",#N/A,FALSE,"Woodh";"vs 99 wm",#N/A,FALSE,"WM";"vs 99 green",#N/A,FALSE,"Grnspg";"vs 99 npt",#N/A,FALSE,"NPt";"trend smd mri",#N/A,FALSE,"SMd";"trend ghattas",#N/A,FALSE,"Ghattas";"trend cmic",#N/A,FALSE,"CMIC";"vs 99 dunk",#N/A,FALSE,"Dunkirk";"vs 99 sol",#N/A,FALSE,"Solomons";#N/A,#N/A,FALSE,"Waldorf";"trend col",#N/A,FALSE,"Col";"trend white",#N/A,FALSE,"White"}</definedName>
    <definedName name="wrn.Trinidad." localSheetId="0" hidden="1">{"Trinidad",#N/A,FALSE,"Trinidad"}</definedName>
    <definedName name="wrn.Trinidad." hidden="1">{"Trinidad",#N/A,FALSE,"Trinidad"}</definedName>
    <definedName name="wrn.TUNE._.Model." localSheetId="0" hidden="1">{#N/A,#N/A,FALSE,"IS";#N/A,#N/A,FALSE,"One pager";#N/A,#N/A,FALSE,"Revenue Detail"}</definedName>
    <definedName name="wrn.TUNE._.Model." hidden="1">{#N/A,#N/A,FALSE,"IS";#N/A,#N/A,FALSE,"One pager";#N/A,#N/A,FALSE,"Revenue Detail"}</definedName>
    <definedName name="wrn.Tweety." localSheetId="0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Typhoon." localSheetId="0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K." localSheetId="0" hidden="1">{"UK",#N/A,FALSE,"U.K."}</definedName>
    <definedName name="wrn.UK." hidden="1">{"UK",#N/A,FALSE,"U.K."}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IONGAS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ted._.States." localSheetId="0" hidden="1">{"US",#N/A,FALSE,"United States"}</definedName>
    <definedName name="wrn.United._.States." hidden="1">{"US",#N/A,FALSE,"United States"}</definedName>
    <definedName name="wrn.up." localSheetId="0" hidden="1">{"up stand alones",#N/A,FALSE,"Acquiror"}</definedName>
    <definedName name="wrn.up." hidden="1">{"up stand alones",#N/A,FALSE,"Acquiror"}</definedName>
    <definedName name="wrn.Upper._.Case." localSheetId="0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localSheetId="0" hidden="1">{"histincome",#N/A,FALSE,"hyfins";"closing balance",#N/A,FALSE,"hyfins"}</definedName>
    <definedName name="wrn.upstairs." hidden="1">{"histincome",#N/A,FALSE,"hyfins";"closing balance",#N/A,FALSE,"hyfins"}</definedName>
    <definedName name="wrn.USA." localSheetId="0" hidden="1">{"USA",#N/A,FALSE,"U.S.A."}</definedName>
    <definedName name="wrn.USA." hidden="1">{"USA",#N/A,FALSE,"U.S.A."}</definedName>
    <definedName name="wrn.USW." localSheetId="0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UTILITIES." localSheetId="0" hidden="1">{#N/A,#N/A,FALSE,"UTIL Monthly Inc ";#N/A,#N/A,FALSE,"Capital";#N/A,#N/A,FALSE,"UTIL REVENUE";#N/A,#N/A,FALSE,"RM REVENUE";#N/A,#N/A,FALSE,"Manpower";#N/A,#N/A,FALSE,"SI - UTIL";#N/A,#N/A,FALSE,"Sales - Utili"}</definedName>
    <definedName name="wrn.UTILITIES." hidden="1">{#N/A,#N/A,FALSE,"UTIL Monthly Inc ";#N/A,#N/A,FALSE,"Capital";#N/A,#N/A,FALSE,"UTIL REVENUE";#N/A,#N/A,FALSE,"RM REVENUE";#N/A,#N/A,FALSE,"Manpower";#N/A,#N/A,FALSE,"SI - UTIL";#N/A,#N/A,FALSE,"Sales - Utili"}</definedName>
    <definedName name="wrn.UTL._.Position." localSheetId="0" hidden="1">{"UTL effect",#N/A,FALSE,"Sensitivity"}</definedName>
    <definedName name="wrn.UTL._.Position." hidden="1">{"UTL effect",#N/A,FALSE,"Sensitivity"}</definedName>
    <definedName name="wrn.valderrama." localSheetId="0" hidden="1">{"valderrama1",#N/A,FALSE,"Pro Forma";"valderrama",#N/A,FALSE,"Pro Forma"}</definedName>
    <definedName name="wrn.valderrama." hidden="1">{"valderrama1",#N/A,FALSE,"Pro Forma";"valderrama",#N/A,FALSE,"Pro Forma"}</definedName>
    <definedName name="wrn.VALUATION." localSheetId="0" hidden="1">{#N/A,#N/A,FALSE,"Pooling";#N/A,#N/A,FALSE,"income";#N/A,#N/A,FALSE,"valuation"}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Package._.1." localSheetId="0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localSheetId="0" hidden="1">{#N/A,#N/A,FALSE,"Summary";#N/A,#N/A,FALSE,"Base Materials";#N/A,#N/A,FALSE,"Construction";#N/A,#N/A,FALSE,"Packaging";#N/A,#N/A,FALSE,"Transportation"}</definedName>
    <definedName name="wrn.Valuation._.Summary." hidden="1">{#N/A,#N/A,FALSE,"Summary";#N/A,#N/A,FALSE,"Base Materials";#N/A,#N/A,FALSE,"Construction";#N/A,#N/A,FALSE,"Packaging";#N/A,#N/A,FALSE,"Transportation"}</definedName>
    <definedName name="wrn.Value." localSheetId="0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LUENAV." localSheetId="0" hidden="1">{#N/A,#N/A,FALSE,"Value";#N/A,#N/A,FALSE,"NAV"}</definedName>
    <definedName name="wrn.VALUENAV." hidden="1">{#N/A,#N/A,FALSE,"Value";#N/A,#N/A,FALSE,"NAV"}</definedName>
    <definedName name="wrn.vanhorn." localSheetId="0" hidden="1">{#N/A,#N/A,FALSE,"K1 feeder";#N/A,#N/A,FALSE,"MHI";#N/A,#N/A,FALSE,"INC STMT";#N/A,#N/A,FALSE,"procedures"}</definedName>
    <definedName name="wrn.vanhorn." hidden="1">{#N/A,#N/A,FALSE,"K1 feeder";#N/A,#N/A,FALSE,"MHI";#N/A,#N/A,FALSE,"INC STMT";#N/A,#N/A,FALSE,"procedures"}</definedName>
    <definedName name="wrn.Variance._.Q4" localSheetId="0" hidden="1">{"Variance Q4",#N/A,FALSE,"Var"}</definedName>
    <definedName name="wrn.Variance._.Q4" hidden="1">{"Variance Q4",#N/A,FALSE,"Var"}</definedName>
    <definedName name="wrn.vmarch99" localSheetId="0" hidden="1">{#N/A,#N/A,TRUE,"Valeurs99"}</definedName>
    <definedName name="wrn.vmarch99" hidden="1">{#N/A,#N/A,TRUE,"Valeurs99"}</definedName>
    <definedName name="wrn.VMARCH99." localSheetId="0" hidden="1">{#N/A,#N/A,TRUE,"Valeurs99"}</definedName>
    <definedName name="wrn.VMARCH99." hidden="1">{#N/A,#N/A,TRUE,"Valeurs99"}</definedName>
    <definedName name="wrn.voucher9703." localSheetId="0" hidden="1">{#N/A,#N/A,FALSE,"970301";#N/A,#N/A,FALSE,"970302";#N/A,#N/A,FALSE,"970303";#N/A,#N/A,FALSE,"970304";#N/A,#N/A,FALSE,"COM1";#N/A,#N/A,FALSE,"COM2"}</definedName>
    <definedName name="wrn.voucher9703." hidden="1">{#N/A,#N/A,FALSE,"970301";#N/A,#N/A,FALSE,"970302";#N/A,#N/A,FALSE,"970303";#N/A,#N/A,FALSE,"970304";#N/A,#N/A,FALSE,"COM1";#N/A,#N/A,FALSE,"COM2"}</definedName>
    <definedName name="wrn.voucher9703._1" localSheetId="0" hidden="1">{#N/A,#N/A,FALSE,"970301";#N/A,#N/A,FALSE,"970302";#N/A,#N/A,FALSE,"970303";#N/A,#N/A,FALSE,"970304";#N/A,#N/A,FALSE,"COM1";#N/A,#N/A,FALSE,"COM2"}</definedName>
    <definedName name="wrn.voucher9703._1" hidden="1">{#N/A,#N/A,FALSE,"970301";#N/A,#N/A,FALSE,"970302";#N/A,#N/A,FALSE,"970303";#N/A,#N/A,FALSE,"970304";#N/A,#N/A,FALSE,"COM1";#N/A,#N/A,FALSE,"COM2"}</definedName>
    <definedName name="wrn.vs._.1999." localSheetId="0" hidden="1">{"vs 99 york",#N/A,FALSE,"York";"vs 99 tmr",#N/A,FALSE,"TMR";"vs 99 towson",#N/A,FALSE,"Towson";"vs 99 osler",#N/A,FALSE,"Osler";"vs 99 ellicott",#N/A,FALSE,"Ellicott";"vs 99 columbia",#N/A,FALSE,"Columbia";"vs 99 glen",#N/A,FALSE,"Glen";"vs 99 annap",#N/A,FALSE,"Annap";"vs 99 om",#N/A,FALSE,"OM";"vs 99 wood",#N/A,FALSE,"Woodh";"vs 99 wm",#N/A,FALSE,"WM";"vs 99 green",#N/A,FALSE,"Grnspg";"vs 99 npt",#N/A,FALSE,"NPt";"vs 99 s md mri",#N/A,FALSE,"SMd";"vs 99 ghattas",#N/A,FALSE,"Ghattas";"vs 99 cmic",#N/A,FALSE,"CMIC";"vs 99 dunk",#N/A,FALSE,"Dunkirk";"vs 99 sol",#N/A,FALSE,"Solomons";"vs 99 waldorf",#N/A,FALSE,"Waldorf";"vs 99 col",#N/A,FALSE,"Col";"vs 99 white",#N/A,FALSE,"White"}</definedName>
    <definedName name="wrn.vs._.1999." hidden="1">{"vs 99 york",#N/A,FALSE,"York";"vs 99 tmr",#N/A,FALSE,"TMR";"vs 99 towson",#N/A,FALSE,"Towson";"vs 99 osler",#N/A,FALSE,"Osler";"vs 99 ellicott",#N/A,FALSE,"Ellicott";"vs 99 columbia",#N/A,FALSE,"Columbia";"vs 99 glen",#N/A,FALSE,"Glen";"vs 99 annap",#N/A,FALSE,"Annap";"vs 99 om",#N/A,FALSE,"OM";"vs 99 wood",#N/A,FALSE,"Woodh";"vs 99 wm",#N/A,FALSE,"WM";"vs 99 green",#N/A,FALSE,"Grnspg";"vs 99 npt",#N/A,FALSE,"NPt";"vs 99 s md mri",#N/A,FALSE,"SMd";"vs 99 ghattas",#N/A,FALSE,"Ghattas";"vs 99 cmic",#N/A,FALSE,"CMIC";"vs 99 dunk",#N/A,FALSE,"Dunkirk";"vs 99 sol",#N/A,FALSE,"Solomons";"vs 99 waldorf",#N/A,FALSE,"Waldorf";"vs 99 col",#N/A,FALSE,"Col";"vs 99 white",#N/A,FALSE,"White"}</definedName>
    <definedName name="wrn.Wacc." localSheetId="0" hidden="1">{"Area1",#N/A,FALSE,"OREWACC";"Area2",#N/A,FALSE,"OREWACC"}</definedName>
    <definedName name="wrn.Wacc." hidden="1">{"Area1",#N/A,FALSE,"OREWACC";"Area2",#N/A,FALSE,"OREWACC"}</definedName>
    <definedName name="wrn.Water." localSheetId="0" hidden="1">{#N/A,#N/A,FALSE,"Water";#N/A,#N/A,FALSE,"Ballygowan";#N/A,#N/A,FALSE,"Volvic"}</definedName>
    <definedName name="wrn.Water." hidden="1">{#N/A,#N/A,FALSE,"Water";#N/A,#N/A,FALSE,"Ballygowan";#N/A,#N/A,FALSE,"Volvic"}</definedName>
    <definedName name="wrn.WATERTOWN._.BUDGET." localSheetId="0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ekly._.Scrap._.Report." localSheetId="0" hidden="1">{#N/A,#N/A,TRUE,"GEM Total";#N/A,#N/A,TRUE,"Final Assembly";#N/A,#N/A,TRUE,"Cleaning";#N/A,#N/A,TRUE,"Schooping,Clearing";#N/A,#N/A,TRUE,"Winding"}</definedName>
    <definedName name="wrn.Weekly._.Scrap._.Report." hidden="1">{#N/A,#N/A,TRUE,"GEM Total";#N/A,#N/A,TRUE,"Final Assembly";#N/A,#N/A,TRUE,"Cleaning";#N/A,#N/A,TRUE,"Schooping,Clearing";#N/A,#N/A,TRUE,"Winding"}</definedName>
    <definedName name="wrn.weekly._.scrap._.report..." localSheetId="0" hidden="1">{#N/A,#N/A,TRUE,"GEM Total";#N/A,#N/A,TRUE,"Final Assembly";#N/A,#N/A,TRUE,"Cleaning";#N/A,#N/A,TRUE,"Schooping,Clearing";#N/A,#N/A,TRUE,"Winding"}</definedName>
    <definedName name="wrn.weekly._.scrap._.report..." hidden="1">{#N/A,#N/A,TRUE,"GEM Total";#N/A,#N/A,TRUE,"Final Assembly";#N/A,#N/A,TRUE,"Cleaning";#N/A,#N/A,TRUE,"Schooping,Clearing";#N/A,#N/A,TRUE,"Winding"}</definedName>
    <definedName name="wrn.wells." localSheetId="0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stern._.District._.1997._.Capital._.Budget." localSheetId="0" hidden="1">{#N/A,#N/A,FALSE,"EXP97"}</definedName>
    <definedName name="wrn.Western._.District._.1997._.Capital._.Budget." hidden="1">{#N/A,#N/A,FALSE,"EXP97"}</definedName>
    <definedName name="wrn.Western._.Metal." localSheetId="0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localSheetId="0" hidden="1">{#N/A,#N/A,FALSE,"FACTSHEETS";#N/A,#N/A,FALSE,"pump";#N/A,#N/A,FALSE,"filter"}</definedName>
    <definedName name="wrn.wicor." hidden="1">{#N/A,#N/A,FALSE,"FACTSHEETS";#N/A,#N/A,FALSE,"pump";#N/A,#N/A,FALSE,"filter"}</definedName>
    <definedName name="wrn.WineSpirits." localSheetId="0" hidden="1">{#N/A,#N/A,FALSE,"W&amp;Spirits";#N/A,#N/A,FALSE,"Grants";#N/A,#N/A,FALSE,"CCB"}</definedName>
    <definedName name="wrn.WineSpirits." hidden="1">{#N/A,#N/A,FALSE,"W&amp;Spirits";#N/A,#N/A,FALSE,"Grants";#N/A,#N/A,FALSE,"CCB"}</definedName>
    <definedName name="wrn.work._.paper._.shcedules." localSheetId="0" hidden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sheets." localSheetId="0" hidden="1">{#N/A,#N/A,FALSE,"Base Materials";#N/A,#N/A,FALSE,"Construction";#N/A,#N/A,FALSE,"Packaging";#N/A,#N/A,FALSE,"Transportation"}</definedName>
    <definedName name="wrn.Worksheets." hidden="1">{#N/A,#N/A,FALSE,"Base Materials";#N/A,#N/A,FALSE,"Construction";#N/A,#N/A,FALSE,"Packaging";#N/A,#N/A,FALSE,"Transportation"}</definedName>
    <definedName name="wrn.Xa." localSheetId="0" hidden="1">{"capcity",#N/A,FALSE,"Xiamen (chn)";"volume",#N/A,FALSE,"Xiamen (chn)"}</definedName>
    <definedName name="wrn.Xa." hidden="1">{"capcity",#N/A,FALSE,"Xiamen (chn)";"volume",#N/A,FALSE,"Xiamen (chn)"}</definedName>
    <definedName name="wrn.XN." localSheetId="0" hidden="1">{"capacity",#N/A,FALSE,"Xian";"Volume",#N/A,FALSE,"Xian"}</definedName>
    <definedName name="wrn.XN." hidden="1">{"capacity",#N/A,FALSE,"Xian";"Volume",#N/A,FALSE,"Xian"}</definedName>
    <definedName name="wrn.YTD._.CON._.VS._.BUD." localSheetId="0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WLLC._.VS._.BUDG." localSheetId="0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ZELLERS." localSheetId="0" hidden="1">{"ZELPG1",#N/A,FALSE,"1995";"ZELPG2",#N/A,FALSE,"1995";"ZELPG3",#N/A,FALSE,"1995"}</definedName>
    <definedName name="wrn.ZELLERS." hidden="1">{"ZELPG1",#N/A,FALSE,"1995";"ZELPG2",#N/A,FALSE,"1995";"ZELPG3",#N/A,FALSE,"1995"}</definedName>
    <definedName name="wrn.ZZ." localSheetId="0" hidden="1">{"Volume",#N/A,FALSE,"Zhengzhou";"capacity",#N/A,FALSE,"Zhengzhou"}</definedName>
    <definedName name="wrn.ZZ." hidden="1">{"Volume",#N/A,FALSE,"Zhengzhou";"capacity",#N/A,FALSE,"Zhengzhou"}</definedName>
    <definedName name="wrn.דוח._.כספי._.מלא." localSheetId="0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כספי._.מלא.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负债表." localSheetId="0" hidden="1">{#N/A,#N/A,FALSE,"负债表"}</definedName>
    <definedName name="wrn.负债表." hidden="1">{#N/A,#N/A,FALSE,"负债表"}</definedName>
    <definedName name="wrn.负债及权益." localSheetId="0" hidden="1">{"负债及权益",#N/A,FALSE,"TB-BS"}</definedName>
    <definedName name="wrn.负债及权益." hidden="1">{"负债及权益",#N/A,FALSE,"TB-BS"}</definedName>
    <definedName name="wrn.合并报表." localSheetId="0" hidden="1">{"合并损益表",#N/A,FALSE,"报表";"合并资产负债表",#N/A,FALSE,"报表"}</definedName>
    <definedName name="wrn.合并报表." hidden="1">{"合并损益表",#N/A,FALSE,"报表";"合并资产负债表",#N/A,FALSE,"报表"}</definedName>
    <definedName name="wrn.企业." localSheetId="0" hidden="1">{#N/A,#N/A,FALSE,"其他应收变动表"}</definedName>
    <definedName name="wrn.企业." hidden="1">{#N/A,#N/A,FALSE,"其他应收变动表"}</definedName>
    <definedName name="wrn.现金." localSheetId="0" hidden="1">{"现金主表",#N/A,FALSE,"正式Cashflow"}</definedName>
    <definedName name="wrn.现金." hidden="1">{"现金主表",#N/A,FALSE,"正式Cashflow"}</definedName>
    <definedName name="wrn.现金主表." localSheetId="0" hidden="1">{"现金主表",#N/A,FALSE,"正式Cashflow"}</definedName>
    <definedName name="wrn.现金主表." hidden="1">{"现金主表",#N/A,FALSE,"正式Cashflow"}</definedName>
    <definedName name="wrn.미판매." localSheetId="0" hidden="1">{#N/A,#N/A,FALSE,"미판매분"}</definedName>
    <definedName name="wrn.미판매." hidden="1">{#N/A,#N/A,FALSE,"미판매분"}</definedName>
    <definedName name="wrn.主要经济指标完成情况表." localSheetId="0" hidden="1">{#N/A,#N/A,FALSE,"主要经济指标完成情况表"}</definedName>
    <definedName name="wrn.主要经济指标完成情况表." hidden="1">{#N/A,#N/A,FALSE,"主要经济指标完成情况表"}</definedName>
    <definedName name="wrn.资产." localSheetId="0" hidden="1">{"资产",#N/A,FALSE,"TB-BS"}</definedName>
    <definedName name="wrn.资产." hidden="1">{"资产",#N/A,FALSE,"TB-BS"}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_eva" localSheetId="0" hidden="1">{"EVA",#N/A,FALSE,"EVA";"WACC",#N/A,FALSE,"WACC"}</definedName>
    <definedName name="wrn_eva" hidden="1">{"EVA",#N/A,FALSE,"EVA";"WACC",#N/A,FALSE,"WACC"}</definedName>
    <definedName name="wrn_otpt" localSheetId="0" hidden="1">{"DCF","UPSIDE CASE",FALSE,"Sheet1";"DCF","BASE CASE",FALSE,"Sheet1";"DCF","DOWNSIDE CASE",FALSE,"Sheet1"}</definedName>
    <definedName name="wrn_otpt" hidden="1">{"DCF","UPSIDE CASE",FALSE,"Sheet1";"DCF","BASE CASE",FALSE,"Sheet1";"DCF","DOWNSIDE CASE",FALSE,"Sheet1"}</definedName>
    <definedName name="wrn1.Basic" localSheetId="0" hidden="1">{"ca",#N/A,FALSE,"C";"D",#N/A,FALSE,"D"}</definedName>
    <definedName name="wrn1.Basic" hidden="1">{"ca",#N/A,FALSE,"C";"D",#N/A,FALSE,"D"}</definedName>
    <definedName name="wrn1.Client._.Sheets" localSheetId="0" hidden="1">{"Netbacks",#N/A,FALSE,"Netbacks";"IS Quarterly",#N/A,FALSE,"Income Statement";"IS Yearly",#N/A,FALSE,"Income Statement";"Corporate Profile",#N/A,FALSE,"Corporate Profile"}</definedName>
    <definedName name="wrn1.Client._.Sheets" hidden="1">{"Netbacks",#N/A,FALSE,"Netbacks";"IS Quarterly",#N/A,FALSE,"Income Statement";"IS Yearly",#N/A,FALSE,"Income Statement";"Corporate Profile",#N/A,FALSE,"Corporate Profile"}</definedName>
    <definedName name="wrn1.corporate._Profile" localSheetId="0" hidden="1">{"Corporate Profile",#N/A,FALSE,"D"}</definedName>
    <definedName name="wrn1.corporate._Profile" hidden="1">{"Corporate Profile",#N/A,FALSE,"D"}</definedName>
    <definedName name="wrn1.history" localSheetId="0" hidden="1">{#N/A,#N/A,FALSE,"model"}</definedName>
    <definedName name="wrn1.history" hidden="1">{#N/A,#N/A,FALSE,"model"}</definedName>
    <definedName name="wrn1.summary" localSheetId="0" hidden="1">{#N/A,#N/A,TRUE,"KEY DATA";#N/A,#N/A,TRUE,"KEY DATA Base Case";#N/A,#N/A,TRUE,"JULY";#N/A,#N/A,TRUE,"AUG";#N/A,#N/A,TRUE,"SEPT";#N/A,#N/A,TRUE,"3Q"}</definedName>
    <definedName name="wrn1.summary" hidden="1">{#N/A,#N/A,TRUE,"KEY DATA";#N/A,#N/A,TRUE,"KEY DATA Base Case";#N/A,#N/A,TRUE,"JULY";#N/A,#N/A,TRUE,"AUG";#N/A,#N/A,TRUE,"SEPT";#N/A,#N/A,TRUE,"3Q"}</definedName>
    <definedName name="wrn1.summary.." localSheetId="0" hidden="1">{#N/A,#N/A,TRUE,"KEY DATA";#N/A,#N/A,TRUE,"KEY DATA Base Case";#N/A,#N/A,TRUE,"JULY";#N/A,#N/A,TRUE,"AUG";#N/A,#N/A,TRUE,"SEPT";#N/A,#N/A,TRUE,"3Q"}</definedName>
    <definedName name="wrn1.summary.." hidden="1">{#N/A,#N/A,TRUE,"KEY DATA";#N/A,#N/A,TRUE,"KEY DATA Base Case";#N/A,#N/A,TRUE,"JULY";#N/A,#N/A,TRUE,"AUG";#N/A,#N/A,TRUE,"SEPT";#N/A,#N/A,TRUE,"3Q"}</definedName>
    <definedName name="wrn1.summi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tigertax." localSheetId="0" hidden="1">{#N/A,#N/A,FALSE,"TAXC.INDEX";#N/A,#N/A,FALSE,"Schedule I";#N/A,#N/A,FALSE,"Schedule  II";#N/A,#N/A,FALSE,"Schedule III"}</definedName>
    <definedName name="wrn1.tigertax." hidden="1">{#N/A,#N/A,FALSE,"TAXC.INDEX";#N/A,#N/A,FALSE,"Schedule I";#N/A,#N/A,FALSE,"Schedule  II";#N/A,#N/A,FALSE,"Schedule III"}</definedName>
    <definedName name="wrn1.total" localSheetId="0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all" localSheetId="0" hidden="1">{"PAGE1",#N/A,FALSE,"YIELDS";"PAGE2",#N/A,FALSE,"YIELDS";"PAGE3",#N/A,FALSE,"YIELDS"}</definedName>
    <definedName name="wrn2.all" hidden="1">{"PAGE1",#N/A,FALSE,"YIELDS";"PAGE2",#N/A,FALSE,"YIELDS";"PAGE3",#N/A,FALSE,"YIELDS"}</definedName>
    <definedName name="wrn2.all." localSheetId="0" hidden="1">{"PAGE1",#N/A,FALSE,"YIELDS";"PAGE2",#N/A,FALSE,"YIELDS";"PAGE3",#N/A,FALSE,"YIELDS"}</definedName>
    <definedName name="wrn2.all." hidden="1">{"PAGE1",#N/A,FALSE,"YIELDS";"PAGE2",#N/A,FALSE,"YIELDS";"PAGE3",#N/A,FALSE,"YIELDS"}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2.Document" localSheetId="0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2.forecast." localSheetId="0" hidden="1">{#N/A,#N/A,FALSE,"model"}</definedName>
    <definedName name="wrn2.forecast." hidden="1">{#N/A,#N/A,FALSE,"model"}</definedName>
    <definedName name="wrn2.gasodem." localSheetId="0" hidden="1">{"monthly",#N/A,FALSE,"GASODEM";"qtr to yr",#N/A,FALSE,"GASODEM"}</definedName>
    <definedName name="wrn2.gasodem." hidden="1">{"monthly",#N/A,FALSE,"GASODEM";"qtr to yr",#N/A,FALSE,"GASODEM"}</definedName>
    <definedName name="wrn3.histroic" localSheetId="0" hidden="1">{#N/A,#N/A,FALSE,"model"}</definedName>
    <definedName name="wrn3.histroic" hidden="1">{#N/A,#N/A,FALSE,"model"}</definedName>
    <definedName name="wrnalll" localSheetId="0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m" localSheetId="0" hidden="1">{#N/A,#N/A,FALSE,"pop.hh";#N/A,#N/A,FALSE,"age.dist";#N/A,#N/A,FALSE,"hh.income";#N/A,#N/A,FALSE,"hh.chars"}</definedName>
    <definedName name="wrnm" hidden="1">{#N/A,#N/A,FALSE,"pop.hh";#N/A,#N/A,FALSE,"age.dist";#N/A,#N/A,FALSE,"hh.income";#N/A,#N/A,FALSE,"hh.chars"}</definedName>
    <definedName name="wrwrwrwr" localSheetId="0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wrwrwr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s" localSheetId="0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w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ed" localSheetId="0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localSheetId="0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qjysr" hidden="1">#REF!</definedName>
    <definedName name="wt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WEWETWETWETWET" hidden="1">#REF!</definedName>
    <definedName name="wvu.cash.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aily._.update._.global._.sheet." localSheetId="0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localSheetId="0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age1." localSheetId="0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localSheetId="0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localSheetId="0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localSheetId="0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rofit._.and._.Loss." localSheetId="0" hidden="1">{TRUE,TRUE,-1.25,-15.5,604.5,343.5,FALSE,TRUE,TRUE,TRUE,0,1,#N/A,1,#N/A,12.3392857142857,30.7692307692308,1,FALSE,FALSE,3,TRUE,1,FALSE,75,"Swvu.Profit._.and._.Loss.","ACwvu.Profit._.and._.Loss.",#N/A,FALSE,FALSE,0.748031496062992,0.748031496062992,1.10236220472441,0.984251968503937,2,"&amp;C&amp;""Arial,Bold""&amp;12KENSINGTON BANKS
&amp;11PROFIT &amp; LOSS for EXPENSES (BUDGET)&amp;12
&amp;10SUMMARY
as at JULY 1994","",FALSE,FALSE,FALSE,FALSE,1,75,#N/A,#N/A,"=R8C5:R38C82","=C1:C4,R4:R7",#N/A,#N/A,FALSE,FALSE,TRUE,9,65532,65532,FALSE,FALSE,TRUE,TRUE,TRUE}</definedName>
    <definedName name="wvu.Profit._.and._.Loss." hidden="1">{TRUE,TRUE,-1.25,-15.5,604.5,343.5,FALSE,TRUE,TRUE,TRUE,0,1,#N/A,1,#N/A,12.3392857142857,30.7692307692308,1,FALSE,FALSE,3,TRUE,1,FALSE,75,"Swvu.Profit._.and._.Loss.","ACwvu.Profit._.and._.Loss.",#N/A,FALSE,FALSE,0.748031496062992,0.748031496062992,1.10236220472441,0.984251968503937,2,"&amp;C&amp;""Arial,Bold""&amp;12KENSINGTON BANKS
&amp;11PROFIT &amp; LOSS for EXPENSES (BUDGET)&amp;12
&amp;10SUMMARY
as at JULY 1994","",FALSE,FALSE,FALSE,FALSE,1,75,#N/A,#N/A,"=R8C5:R38C82","=C1:C4,R4:R7",#N/A,#N/A,FALSE,FALSE,TRUE,9,65532,65532,FALSE,FALSE,TRUE,TRUE,TRUE}</definedName>
    <definedName name="wvu.profits.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Report." localSheetId="0" hidden="1">{TRUE,TRUE,-1.25,-15.5,484.5,253.5,FALSE,FALSE,TRUE,TRUE,0,1,#N/A,1,#N/A,21.1666666666667,11.0588235294118,1,FALSE,FALSE,3,TRUE,1,FALSE,100,"Swvu.Report.","ACwvu.Report.",#N/A,FALSE,FALSE,0.43,0.42,1,1,2,"","",FALSE,FALSE,FALSE,FALSE,1,100,#N/A,#N/A,FALSE,FALSE,#N/A,#N/A,FALSE,FALSE,TRUE,9,65532,65532,FALSE,FALSE,TRUE,TRUE,TRUE}</definedName>
    <definedName name="wvu.Report." hidden="1">{TRUE,TRUE,-1.25,-15.5,484.5,253.5,FALSE,FALSE,TRUE,TRUE,0,1,#N/A,1,#N/A,21.1666666666667,11.0588235294118,1,FALSE,FALSE,3,TRUE,1,FALSE,100,"Swvu.Report.","ACwvu.Report.",#N/A,FALSE,FALSE,0.43,0.42,1,1,2,"","",FALSE,FALSE,FALSE,FALSE,1,100,#N/A,#N/A,FALSE,FALSE,#N/A,#N/A,FALSE,FALSE,TRUE,9,65532,65532,FALSE,FALSE,TRUE,TRUE,TRUE}</definedName>
    <definedName name="wvu.sheet._.4." localSheetId="0" hidden="1">{TRUE,TRUE,1,1,284.25,333.75,FALSE,TRUE,TRUE,TRUE,0,1,2,1,27,1,6,4,TRUE,TRUE,1,TRUE,1,TRUE,100,"Swvu.sheet._.4.","ACwvu.sheet._.4.",#N/A,FALSE,FALSE,0.75,0.75,1,1,1,"&amp;R&amp;D &amp;T","",FALSE,FALSE,FALSE,TRUE,1,#N/A,1,1,FALSE,FALSE,#N/A,#N/A,FALSE,FALSE,FALSE,1,180,180,FALSE,FALSE,TRUE,TRUE,TRUE}</definedName>
    <definedName name="wvu.sheet._.4." hidden="1">{TRUE,TRUE,1,1,284.25,333.75,FALSE,TRUE,TRUE,TRUE,0,1,2,1,27,1,6,4,TRUE,TRUE,1,TRUE,1,TRUE,100,"Swvu.sheet._.4.","ACwvu.sheet._.4.",#N/A,FALSE,FALSE,0.75,0.75,1,1,1,"&amp;R&amp;D &amp;T","",FALSE,FALSE,FALSE,TRUE,1,#N/A,1,1,FALSE,FALSE,#N/A,#N/A,FALSE,FALSE,FALSE,1,180,180,FALSE,FALSE,TRUE,TRUE,TRUE}</definedName>
    <definedName name="wvu.Summary._.Sheet." localSheetId="0" hidden="1">{TRUE,TRUE,-1.25,-15.5,604.5,343.5,FALSE,TRUE,TRUE,TRUE,0,1,#N/A,1,#N/A,14.8571428571429,30.7692307692308,1,FALSE,FALSE,3,TRUE,1,FALSE,75,"Swvu.Summary._.Sheet.","ACwvu.Summary._.Sheet.",#N/A,FALSE,FALSE,0.748031496062992,0.748031496062992,0.984251968503937,0.984251968503937,2,"&amp;C&amp;""Arial,Bold""&amp;12KENSINGTON BANKS
&amp;11PROFIT &amp; LOSS
&amp;10SUMMARY (Actual vs Budget)","",TRUE,FALSE,FALSE,FALSE,1,#N/A,1,1,"=R3C1:R47C21",FALSE,#N/A,#N/A,FALSE,FALSE,FALSE,9,65532,65532,FALSE,FALSE,TRUE,TRUE,TRUE}</definedName>
    <definedName name="wvu.Summary._.Sheet." hidden="1">{TRUE,TRUE,-1.25,-15.5,604.5,343.5,FALSE,TRUE,TRUE,TRUE,0,1,#N/A,1,#N/A,14.8571428571429,30.7692307692308,1,FALSE,FALSE,3,TRUE,1,FALSE,75,"Swvu.Summary._.Sheet.","ACwvu.Summary._.Sheet.",#N/A,FALSE,FALSE,0.748031496062992,0.748031496062992,0.984251968503937,0.984251968503937,2,"&amp;C&amp;""Arial,Bold""&amp;12KENSINGTON BANKS
&amp;11PROFIT &amp; LOSS
&amp;10SUMMARY (Actual vs Budget)","",TRUE,FALSE,FALSE,FALSE,1,#N/A,1,1,"=R3C1:R47C21",FALSE,#N/A,#N/A,FALSE,FALSE,FALSE,9,65532,65532,FALSE,FALSE,TRUE,TRUE,TRUE}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wvsdf" hidden="1">#REF!</definedName>
    <definedName name="WW12232346e59f45dea525d799750b9d09_634334582114806666" hidden="1">#REF!</definedName>
    <definedName name="WW12232346e59f45dea525d799750b9d09_634358267595154576" hidden="1">#REF!</definedName>
    <definedName name="WW20c845a4af894dee82ba1f9f223ea8bc_634301149235377059" hidden="1">#REF!</definedName>
    <definedName name="WW3d2a451efb2f4ae08566c57fa392f9d3_EF40" hidden="1">#REF!</definedName>
    <definedName name="WW3f55823c4d914606875f650ef17675ab_634332107410909987" hidden="1">#REF!</definedName>
    <definedName name="WW58c9b13717b94227816c8729963f8cd8_634328478344202912" hidden="1">#REF!</definedName>
    <definedName name="WW58c9b13717b94227816c8729963f8cd8_634344273624448356" hidden="1">#REF!</definedName>
    <definedName name="WW75d1ef87c83b4e598c0894afc93f973a_634301148593620911" hidden="1">#REF!</definedName>
    <definedName name="WW86fda6043bb94ba394d28400e54f7334_634395035337080941" hidden="1">#REF!</definedName>
    <definedName name="WWb33f264eaac449b3adedc23ac7dc67c1_634301148943085697" hidden="1">#REF!</definedName>
    <definedName name="WWd1811dde9c0142ab8d0e5367f524b338_634358740550070057" hidden="1">#REF!</definedName>
    <definedName name="WWd1811dde9c0142ab8d0e5367f524b338_634358779625508363" hidden="1">#REF!</definedName>
    <definedName name="WWd28fb58789794a75aa1ba8b93f4c1a17_128F" hidden="1">#REF!</definedName>
    <definedName name="wwefwefwfe" localSheetId="0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wefwefwf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Wfd05855865704250b80032c1764cea8d_634334572560472630" hidden="1">#REF!</definedName>
    <definedName name="www" localSheetId="0" hidden="1">{"Area1",#N/A,FALSE,"OREWACC";"Area2",#N/A,FALSE,"OREWACC"}</definedName>
    <definedName name="www" hidden="1">{"Area1",#N/A,FALSE,"OREWACC";"Area2",#N/A,FALSE,"OREWACC"}</definedName>
    <definedName name="wwwwww" localSheetId="0" hidden="1">{#N/A,#N/A,FALSE,"earnings"}</definedName>
    <definedName name="wwwwww" hidden="1">{#N/A,#N/A,FALSE,"earnings"}</definedName>
    <definedName name="wyion" localSheetId="0" hidden="1">{#N/A,#N/A,FALSE,"Summary";#N/A,#N/A,FALSE,"Month";#N/A,#N/A,FALSE,"YTD";#N/A,#N/A,FALSE,"Charts"}</definedName>
    <definedName name="wyion" hidden="1">{#N/A,#N/A,FALSE,"Summary";#N/A,#N/A,FALSE,"Month";#N/A,#N/A,FALSE,"YTD";#N/A,#N/A,FALSE,"Charts"}</definedName>
    <definedName name="XAP" hidden="1">#REF!</definedName>
    <definedName name="XAQ" hidden="1">#REF!</definedName>
    <definedName name="xay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c" localSheetId="0" hidden="1">{#N/A,#N/A,FALSE,"pop.hh";#N/A,#N/A,FALSE,"age.dist";#N/A,#N/A,FALSE,"hh.income";#N/A,#N/A,FALSE,"hh.chars"}</definedName>
    <definedName name="xc" hidden="1">{#N/A,#N/A,FALSE,"pop.hh";#N/A,#N/A,FALSE,"age.dist";#N/A,#N/A,FALSE,"hh.income";#N/A,#N/A,FALSE,"hh.chars"}</definedName>
    <definedName name="XCD" hidden="1">#REF!</definedName>
    <definedName name="xck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xckt" hidden="1">{#N/A,#N/A,FALSE,"DIR-REP";#N/A,#N/A,FALSE,"AUD-REPORT";#N/A,#N/A,FALSE,"P7L&amp;BS";#N/A,#N/A,FALSE,"NOTES";#N/A,#N/A,FALSE,"FA";#N/A,#N/A,FALSE,"NOTES (2)";#N/A,#N/A,FALSE,"Schedule  IV";#N/A,#N/A,FALSE,"Schedule V"}</definedName>
    <definedName name="xdfsd" localSheetId="0" hidden="1">{#N/A,#N/A,TRUE,"Acquirer_Cases_Input";#N/A,#N/A,TRUE,"Acquirer_Input";#N/A,#N/A,TRUE,"Acquirer"}</definedName>
    <definedName name="xdfsd" hidden="1">{#N/A,#N/A,TRUE,"Acquirer_Cases_Input";#N/A,#N/A,TRUE,"Acquirer_Input";#N/A,#N/A,TRUE,"Acquirer"}</definedName>
    <definedName name="xdsdgfdh" localSheetId="0" hidden="1">#REF!</definedName>
    <definedName name="xdsdgfdh" hidden="1">#REF!</definedName>
    <definedName name="xeas" localSheetId="0" hidden="1">{#N/A,#N/A,FALSE,"TAXC.INDEX";#N/A,#N/A,FALSE,"Schedule I";#N/A,#N/A,FALSE,"Schedule  II";#N/A,#N/A,FALSE,"Schedule III"}</definedName>
    <definedName name="xeas" hidden="1">{#N/A,#N/A,FALSE,"TAXC.INDEX";#N/A,#N/A,FALSE,"Schedule I";#N/A,#N/A,FALSE,"Schedule  II";#N/A,#N/A,FALSE,"Schedule III"}</definedName>
    <definedName name="xfcbvwxcbwx" localSheetId="0" hidden="1">{#N/A,#N/A,FALSE,"Sheet1"}</definedName>
    <definedName name="xfcbvwxcbwx" hidden="1">{#N/A,#N/A,FALSE,"Sheet1"}</definedName>
    <definedName name="xgdfvxx" hidden="1">#REF!</definedName>
    <definedName name="xlg" localSheetId="0" hidden="1">{"schedule1",#N/A,FALSE,"Sheet1";"schedule2",#N/A,FALSE,"Sheet1";"schedule3",#N/A,FALSE,"Sheet1";"schedule4",#N/A,FALSE,"Sheet1";"schedule5",#N/A,FALSE,"Sheet1";"schedule6",#N/A,FALSE,"Sheet1"}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localSheetId="0" hidden="1">{"Year 1",#N/A,FALSE,"Budget";"Year 2",#N/A,FALSE,"Budget";"Year 3",#N/A,FALSE,"Budget";"Year 4",#N/A,FALSE,"Budget"}</definedName>
    <definedName name="xlg1" hidden="1">{"Year 1",#N/A,FALSE,"Budget";"Year 2",#N/A,FALSE,"Budget";"Year 3",#N/A,FALSE,"Budget";"Year 4",#N/A,FALSE,"Budget"}</definedName>
    <definedName name="XLIA_GLTransaction_Temp1" hidden="1">#REF!</definedName>
    <definedName name="XLIA_GLTransaction_Temp2" hidden="1">#REF!</definedName>
    <definedName name="XLIA_GLTransaction_Temp3" hidden="1">#REF!</definedName>
    <definedName name="XLIA_GLTransaction_Temp4" hidden="1">#REF!</definedName>
    <definedName name="XLIA_GLTransaction_Temp5" hidden="1">#REF!</definedName>
    <definedName name="xls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xlst" hidden="1">{#N/A,#N/A,FALSE,"DIR-REP";#N/A,#N/A,FALSE,"AUD-REPORT";#N/A,#N/A,FALSE,"P7L&amp;BS";#N/A,#N/A,FALSE,"NOTES";#N/A,#N/A,FALSE,"FA";#N/A,#N/A,FALSE,"NOTES (2)";#N/A,#N/A,FALSE,"Schedule  IV";#N/A,#N/A,FALSE,"Schedule V"}</definedName>
    <definedName name="XNN" hidden="1">#REF!</definedName>
    <definedName name="xoct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c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d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g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xog" hidden="1">{#N/A,#N/A,FALSE,"DIR-REP";#N/A,#N/A,FALSE,"AUD-REPORT";#N/A,#N/A,FALSE,"P7L&amp;BS";#N/A,#N/A,FALSE,"NOTES";#N/A,#N/A,FALSE,"FA";#N/A,#N/A,FALSE,"NOTES (2)";#N/A,#N/A,FALSE,"Schedule  IV";#N/A,#N/A,FALSE,"Schedule V"}</definedName>
    <definedName name="xotlsl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tls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pr" localSheetId="0" hidden="1">{"Area1",#N/A,FALSE,"OREWACC";"Area2",#N/A,FALSE,"OREWACC"}</definedName>
    <definedName name="xpr" hidden="1">{"Area1",#N/A,FALSE,"OREWACC";"Area2",#N/A,FALSE,"OREWACC"}</definedName>
    <definedName name="xptl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p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REF_COLUMN_1" hidden="1">#REF!</definedName>
    <definedName name="XREF_COLUMN_10" hidden="1">#REF!</definedName>
    <definedName name="XREF_COLUMN_1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3</definedName>
    <definedName name="XRefCopy1" localSheetId="0" hidden="1">#REF!</definedName>
    <definedName name="XRefCopy1" hidden="1">#REF!</definedName>
    <definedName name="XRefCopy10" localSheetId="0" hidden="1">#REF!</definedName>
    <definedName name="XRefCopy10" hidden="1">#REF!</definedName>
    <definedName name="XRefCopy101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localSheetId="0" hidden="1">#REF!</definedName>
    <definedName name="XRefCopy11" hidden="1">#REF!</definedName>
    <definedName name="XRefCopy110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Row" hidden="1">#REF!</definedName>
    <definedName name="XRefCopy114Row" hidden="1">#REF!</definedName>
    <definedName name="XRefCopy115" hidden="1">#REF!</definedName>
    <definedName name="XRefCopy115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Row" hidden="1">#REF!</definedName>
    <definedName name="XRefCopy122Row" hidden="1">#REF!</definedName>
    <definedName name="XRefCopy124Row" hidden="1">#REF!</definedName>
    <definedName name="XRefCopy125Row" hidden="1">#REF!</definedName>
    <definedName name="XRefCopy126Row" hidden="1">#REF!</definedName>
    <definedName name="XRefCopy127" hidden="1">#REF!</definedName>
    <definedName name="XRefCopy127Row" hidden="1">#REF!</definedName>
    <definedName name="XRefCopy128Row" hidden="1">#REF!</definedName>
    <definedName name="XRefCopy12Row" hidden="1">#REF!</definedName>
    <definedName name="XRefCopy13" hidden="1">#REF!</definedName>
    <definedName name="XRefCopy133" hidden="1">#REF!</definedName>
    <definedName name="XRefCopy133Row" hidden="1">#REF!</definedName>
    <definedName name="XRefCopy135" hidden="1">#REF!</definedName>
    <definedName name="XRefCopy135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Row" hidden="1">#REF!</definedName>
    <definedName name="XRefCopy14" hidden="1">#REF!</definedName>
    <definedName name="XRefCopy140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5" hidden="1">#REF!</definedName>
    <definedName name="XRefCopy145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Row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2" hidden="1">#REF!</definedName>
    <definedName name="XRefCopy53" hidden="1">#REF!</definedName>
    <definedName name="XRefCopy53Row" hidden="1">#REF!</definedName>
    <definedName name="XRefCopy54" hidden="1">#REF!</definedName>
    <definedName name="XRefCopy55" hidden="1">#REF!</definedName>
    <definedName name="XRefCopy56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4" hidden="1">#REF!</definedName>
    <definedName name="XRefCopy74Row" hidden="1">#REF!</definedName>
    <definedName name="XRefCopy76" hidden="1">#REF!</definedName>
    <definedName name="XRefCopy77" hidden="1">#REF!</definedName>
    <definedName name="XRefCopy77Row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2" hidden="1">#REF!</definedName>
    <definedName name="XRefCopy83" hidden="1">#REF!</definedName>
    <definedName name="XRefCopy85" hidden="1">#REF!</definedName>
    <definedName name="XRefCopy85Row" hidden="1">#REF!</definedName>
    <definedName name="XRefCopy86" hidden="1">#REF!</definedName>
    <definedName name="XRefCopy87Row" hidden="1">#REF!</definedName>
    <definedName name="XRefCopy88Row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2Row" hidden="1">#REF!</definedName>
    <definedName name="XRefCopy93Row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8</definedName>
    <definedName name="XRefPaste1" hidden="1">#REF!</definedName>
    <definedName name="XRefPaste10" localSheetId="0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localSheetId="0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5Row" hidden="1">#REF!</definedName>
    <definedName name="XRefPaste116Row" hidden="1">#REF!</definedName>
    <definedName name="XRefPaste117Row" hidden="1">#REF!</definedName>
    <definedName name="XRefPaste118Row" hidden="1">#REF!</definedName>
    <definedName name="XRefPaste119Row" hidden="1">#REF!</definedName>
    <definedName name="XRefPaste11Row" hidden="1">#REF!</definedName>
    <definedName name="XRefPaste12" hidden="1">#REF!</definedName>
    <definedName name="XRefPaste120Row" hidden="1">#REF!</definedName>
    <definedName name="XRefPaste122Row" hidden="1">#REF!</definedName>
    <definedName name="XRefPaste126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Row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Row" hidden="1">#REF!</definedName>
    <definedName name="XRefPaste7" hidden="1">#REF!</definedName>
    <definedName name="XRefPaste71" hidden="1">#REF!</definedName>
    <definedName name="XRefPaste71Row" hidden="1">#REF!</definedName>
    <definedName name="XRefPaste75" hidden="1">#REF!</definedName>
    <definedName name="XRefPaste75Row" hidden="1">#REF!</definedName>
    <definedName name="XRefPaste77" hidden="1">#REF!</definedName>
    <definedName name="XRefPaste77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Row" hidden="1">#REF!</definedName>
    <definedName name="XRefPaste82" hidden="1">#REF!</definedName>
    <definedName name="XRefPaste82Row" hidden="1">#REF!</definedName>
    <definedName name="XRefPaste84" hidden="1">#REF!</definedName>
    <definedName name="XRefPaste84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Row" hidden="1">#REF!</definedName>
    <definedName name="XRefPaste96" hidden="1">#REF!</definedName>
    <definedName name="XRefPaste96Row" hidden="1">#REF!</definedName>
    <definedName name="XRefPaste98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4</definedName>
    <definedName name="xsd" hidden="1">#REF!</definedName>
    <definedName name="XXae80e160e82347a5abf88c75e1876213" hidden="1">#REF!</definedName>
    <definedName name="xxes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e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x.dec" localSheetId="0" hidden="1">{"en_tete",#N/A,FALSE,"Index";"vue",#N/A,FALSE,"P.-0";#N/A,#N/A,FALSE,"P.-1";#N/A,#N/A,FALSE,"P.- 2a";#N/A,#N/A,FALSE,"P.- 3";#N/A,#N/A,FALSE,"P.- 4";#N/A,#N/A,FALSE,"B.-4b";#N/A,#N/A,FALSE,"B.-8"}</definedName>
    <definedName name="xxx.dec" hidden="1">{"en_tete",#N/A,FALSE,"Index";"vue",#N/A,FALSE,"P.-0";#N/A,#N/A,FALSE,"P.-1";#N/A,#N/A,FALSE,"P.- 2a";#N/A,#N/A,FALSE,"P.- 3";#N/A,#N/A,FALSE,"P.- 4";#N/A,#N/A,FALSE,"B.-4b";#N/A,#N/A,FALSE,"B.-8"}</definedName>
    <definedName name="xxx.detail" localSheetId="0" hidden="1">{"detail305",#N/A,FALSE,"BI-305"}</definedName>
    <definedName name="xxx.detail" hidden="1">{"detail305",#N/A,FALSE,"BI-305"}</definedName>
    <definedName name="xxx.directory" localSheetId="0" hidden="1">{"summary",#N/A,FALSE,"PCR DIRECTORY"}</definedName>
    <definedName name="xxx.directory" hidden="1">{"summary",#N/A,FALSE,"PCR DIRECTORY"}</definedName>
    <definedName name="xxx1" hidden="1">#REF!</definedName>
    <definedName name="xxx10" hidden="1">#REF!</definedName>
    <definedName name="xxx11" hidden="1">#REF!</definedName>
    <definedName name="xxx12" hidden="1">#REF!</definedName>
    <definedName name="xxx13" hidden="1">#REF!</definedName>
    <definedName name="xxx20" hidden="1">#REF!</definedName>
    <definedName name="xxx21" hidden="1">#REF!</definedName>
    <definedName name="xxx3" hidden="1">#REF!</definedName>
    <definedName name="xxx4" hidden="1">#REF!</definedName>
    <definedName name="xxx5" hidden="1">#REF!</definedName>
    <definedName name="xxx7" hidden="1">#REF!</definedName>
    <definedName name="xxx8" hidden="1">#REF!</definedName>
    <definedName name="xxx9" hidden="1">#REF!</definedName>
    <definedName name="xxxx" localSheetId="0" hidden="1">{#N/A,#N/A,FALSE,"Sheet1";#N/A,#N/A,FALSE,"Sheet2";#N/A,#N/A,FALSE,"Sheet3";#N/A,#N/A,FALSE,"Sheet4";#N/A,#N/A,FALSE,"Sheet5";#N/A,#N/A,FALSE,"Sheet6"}</definedName>
    <definedName name="xxxx" hidden="1">{#N/A,#N/A,FALSE,"Sheet1";#N/A,#N/A,FALSE,"Sheet2";#N/A,#N/A,FALSE,"Sheet3";#N/A,#N/A,FALSE,"Sheet4";#N/A,#N/A,FALSE,"Sheet5";#N/A,#N/A,FALSE,"Sheet6"}</definedName>
    <definedName name="xxxxx" localSheetId="0" hidden="1">{"monthly",#N/A,FALSE,"GASODEM";"qtr to yr",#N/A,FALSE,"GASODEM"}</definedName>
    <definedName name="xxxxx" hidden="1">{"monthly",#N/A,FALSE,"GASODEM";"qtr to yr",#N/A,FALSE,"GASODEM"}</definedName>
    <definedName name="xxxxxx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xxxxxx" hidden="1">{"Total",#N/A,FALSE,"Total Proved + Probable";"PDP",#N/A,FALSE,"Total Proved + Probable";"PNP",#N/A,FALSE,"Total Proved + Probable";"PUD",#N/A,FALSE,"Total Proved + Probable";"Prob",#N/A,FALSE,"Total Proved + Probable"}</definedName>
    <definedName name="XxXXXXX" localSheetId="0" hidden="1">{"Print Summary",#N/A,FALSE,"Summary Analysis";"Print FCF",#N/A,FALSE,"FCF Analysis";"Print Sensitivity",#N/A,FALSE,"Sensitivity Analysis";"Print NAV",#N/A,FALSE,"NAV Analysis";"Print Credit",#N/A,FALSE,"Credit Analysis"}</definedName>
    <definedName name="XxXXXXX" hidden="1">{"Print Summary",#N/A,FALSE,"Summary Analysis";"Print FCF",#N/A,FALSE,"FCF Analysis";"Print Sensitivity",#N/A,FALSE,"Sensitivity Analysis";"Print NAV",#N/A,FALSE,"NAV Analysis";"Print Credit",#N/A,FALSE,"Credit Analysis"}</definedName>
    <definedName name="xxxxxxxx" localSheetId="0" hidden="1">{"histincome",#N/A,FALSE,"hyfins";"closing balance",#N/A,FALSE,"hyfins"}</definedName>
    <definedName name="xxxxxxxx" hidden="1">{"histincome",#N/A,FALSE,"hyfins";"closing balance",#N/A,FALSE,"hyfins"}</definedName>
    <definedName name="XXXXXXXXXX" hidden="1">#REF!</definedName>
    <definedName name="XXXXXXXXXXXX" localSheetId="0" hidden="1">#REF!</definedName>
    <definedName name="XXXXXXXXXXXX" hidden="1">#REF!</definedName>
    <definedName name="xyz" localSheetId="0" hidden="1">{#N/A,#N/A,FALSE,"pop.hh";#N/A,#N/A,FALSE,"age.dist";#N/A,#N/A,FALSE,"hh.income";#N/A,#N/A,FALSE,"hh.chars"}</definedName>
    <definedName name="xyz" hidden="1">{#N/A,#N/A,FALSE,"pop.hh";#N/A,#N/A,FALSE,"age.dist";#N/A,#N/A,FALSE,"hh.income";#N/A,#N/A,FALSE,"hh.chars"}</definedName>
    <definedName name="xzb" localSheetId="0" hidden="1">{#N/A,#N/A,FALSE,"AOP Summary";#N/A,#N/A,FALSE,"E.C. Reports";#N/A,#N/A,FALSE,"SADA";#N/A,#N/A,FALSE,"SADA VARIANCE";#N/A,#N/A,FALSE,"Market Share";#N/A,#N/A,FALSE,"Fisher Data"}</definedName>
    <definedName name="xzb" hidden="1">{#N/A,#N/A,FALSE,"AOP Summary";#N/A,#N/A,FALSE,"E.C. Reports";#N/A,#N/A,FALSE,"SADA";#N/A,#N/A,FALSE,"SADA VARIANCE";#N/A,#N/A,FALSE,"Market Share";#N/A,#N/A,FALSE,"Fisher Data"}</definedName>
    <definedName name="xzcxcxzcxc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xzcxcxzcxc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xz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csadfasdfasdf" hidden="1">#REF!</definedName>
    <definedName name="xzy" localSheetId="0" hidden="1">{#N/A,#N/A,FALSE,"II-2 POP.HH";#N/A,#N/A,FALSE,"II-3 AGE.DIST";#N/A,#N/A,FALSE,"II-4 HH.DIST";#N/A,#N/A,FALSE,"II-5 EMP.INDUS"}</definedName>
    <definedName name="xzy" hidden="1">{#N/A,#N/A,FALSE,"II-2 POP.HH";#N/A,#N/A,FALSE,"II-3 AGE.DIST";#N/A,#N/A,FALSE,"II-4 HH.DIST";#N/A,#N/A,FALSE,"II-5 EMP.INDUS"}</definedName>
    <definedName name="y1h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1h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amtoun" hidden="1">#REF!</definedName>
    <definedName name="yay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e" localSheetId="0" hidden="1">{#N/A,#N/A,TRUE,"COVER";#N/A,#N/A,TRUE,"DIR";#N/A,#N/A,TRUE,"AUDIT"}</definedName>
    <definedName name="ye" hidden="1">{#N/A,#N/A,TRUE,"COVER";#N/A,#N/A,TRUE,"DIR";#N/A,#N/A,TRUE,"AUDIT"}</definedName>
    <definedName name="yes" localSheetId="0" hidden="1">{#N/A,#N/A,FALSE,"DCF Cov";#N/A,#N/A,FALSE,"dcf"}</definedName>
    <definedName name="yes" hidden="1">{#N/A,#N/A,FALSE,"DCF Cov";#N/A,#N/A,FALSE,"dcf"}</definedName>
    <definedName name="yfj" localSheetId="0" hidden="1">{#N/A,#N/A,TRUE,"Cover sheet";#N/A,#N/A,TRUE,"INPUTS";#N/A,#N/A,TRUE,"OUTPUTS";#N/A,#N/A,TRUE,"VALUATION"}</definedName>
    <definedName name="yfj" hidden="1">{#N/A,#N/A,TRUE,"Cover sheet";#N/A,#N/A,TRUE,"INPUTS";#N/A,#N/A,TRUE,"OUTPUTS";#N/A,#N/A,TRUE,"VALUATION"}</definedName>
    <definedName name="YGJ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" localSheetId="0" hidden="1">{"Data Worksheet",#N/A,FALSE,"CAREY97"}</definedName>
    <definedName name="yh" hidden="1">{"Data Worksheet",#N/A,FALSE,"CAREY97"}</definedName>
    <definedName name="yhg" hidden="1">2</definedName>
    <definedName name="yhrfthfht" hidden="1">#REF!</definedName>
    <definedName name="ying" localSheetId="0" hidden="1">{#N/A,#N/A,FALSE,"Eff-SSC2"}</definedName>
    <definedName name="ying" hidden="1">{#N/A,#N/A,FALSE,"Eff-SSC2"}</definedName>
    <definedName name="yk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k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ouh" localSheetId="0" hidden="1">{#N/A,#N/A,FALSE,"AD_Purchase";#N/A,#N/A,FALSE,"Credit";#N/A,#N/A,FALSE,"PF Acquisition";#N/A,#N/A,FALSE,"PF Offering"}</definedName>
    <definedName name="youh" hidden="1">{#N/A,#N/A,FALSE,"AD_Purchase";#N/A,#N/A,FALSE,"Credit";#N/A,#N/A,FALSE,"PF Acquisition";#N/A,#N/A,FALSE,"PF Offering"}</definedName>
    <definedName name="yri" localSheetId="0" hidden="1">{#N/A,#N/A,FALSE,"Summary";#N/A,#N/A,FALSE,"Month";#N/A,#N/A,FALSE,"YTD";#N/A,#N/A,FALSE,"Charts"}</definedName>
    <definedName name="yri" hidden="1">{#N/A,#N/A,FALSE,"Summary";#N/A,#N/A,FALSE,"Month";#N/A,#N/A,FALSE,"YTD";#N/A,#N/A,FALSE,"Charts"}</definedName>
    <definedName name="ytr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ytr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ytru" localSheetId="0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ytru" hidden="1">{"en_tete",#N/A,FALSE,"Index";#N/A,#N/A,FALSE,"Manual Chek lists";#N/A,#N/A,FALSE,"P.-0";#N/A,#N/A,FALSE,"P.-1";#N/A,#N/A,FALSE,"P.- 2a";#N/A,#N/A,FALSE,"P.- 2b";#N/A,#N/A,FALSE,"P.- 3";#N/A,#N/A,FALSE,"P.- 4";#N/A,#N/A,FALSE,"B-0";#N/A,#N/A,FALSE,"B.- 1a &amp; 1b";#N/A,#N/A,FALSE,"B.- 2";#N/A,#N/A,FALSE,"B.- 3";#N/A,#N/A,FALSE,"B.- 4a";#N/A,#N/A,FALSE,"B.-4b";#N/A,#N/A,FALSE,"B.-8";#N/A,#N/A,FALSE,"P.- 5";#N/A,#N/A,FALSE,"P. -6";#N/A,#N/A,FALSE,"P.-7"}</definedName>
    <definedName name="YTY" localSheetId="0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uan" localSheetId="0" hidden="1">{#N/A,#N/A,FALSE,"Summary";#N/A,#N/A,FALSE,"Month";#N/A,#N/A,FALSE,"YTD";#N/A,#N/A,FALSE,"Charts"}</definedName>
    <definedName name="yuan" hidden="1">{#N/A,#N/A,FALSE,"Summary";#N/A,#N/A,FALSE,"Month";#N/A,#N/A,FALSE,"YTD";#N/A,#N/A,FALSE,"Charts"}</definedName>
    <definedName name="yuer" localSheetId="0" hidden="1">{#N/A,#N/A,FALSE,"负债表"}</definedName>
    <definedName name="yuer" hidden="1">{#N/A,#N/A,FALSE,"负债表"}</definedName>
    <definedName name="yuewr" localSheetId="0" hidden="1">{#N/A,#N/A,FALSE,"主要经济指标完成情况表"}</definedName>
    <definedName name="yuewr" hidden="1">{#N/A,#N/A,FALSE,"主要经济指标完成情况表"}</definedName>
    <definedName name="yuti" localSheetId="0" hidden="1">{#N/A,#N/A,FALSE,"负债表"}</definedName>
    <definedName name="yuti" hidden="1">{#N/A,#N/A,FALSE,"负债表"}</definedName>
    <definedName name="YUU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YUU" hidden="1">{"assumption 50 50",#N/A,TRUE,"Merger";"has gets cash",#N/A,TRUE,"Merger";"accretion dilution",#N/A,TRUE,"Merger";"comparison credit stats",#N/A,TRUE,"Merger";"pf credit stats",#N/A,TRUE,"Merger";"pf sheets",#N/A,TRUE,"Merger"}</definedName>
    <definedName name="yuuuuuuu" localSheetId="0" hidden="1">{"ratios",#N/A,FALSE,"Summary Accounts"}</definedName>
    <definedName name="yuuuuuuu" hidden="1">{"ratios",#N/A,FALSE,"Summary Accounts"}</definedName>
    <definedName name="yuy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wg36" localSheetId="0" hidden="1">{#N/A,#N/A,FALSE,"BBPREP"}</definedName>
    <definedName name="ywg36" hidden="1">{#N/A,#N/A,FALSE,"BBPREP"}</definedName>
    <definedName name="yy" localSheetId="0" hidden="1">{"bs",#N/A,FALSE,"SCF"}</definedName>
    <definedName name="yyyy" localSheetId="0" hidden="1">{#N/A,#N/A,FALSE,"Sheet1";#N/A,#N/A,FALSE,"Sheet2";#N/A,#N/A,FALSE,"Sheet3";#N/A,#N/A,FALSE,"Sheet4";#N/A,#N/A,FALSE,"Sheet5";#N/A,#N/A,FALSE,"Sheet6"}</definedName>
    <definedName name="yyyy" hidden="1">{#N/A,#N/A,FALSE,"Sheet1";#N/A,#N/A,FALSE,"Sheet2";#N/A,#N/A,FALSE,"Sheet3";#N/A,#N/A,FALSE,"Sheet4";#N/A,#N/A,FALSE,"Sheet5";#N/A,#N/A,FALSE,"Sheet6"}</definedName>
    <definedName name="yyyyy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y" localSheetId="0" hidden="1">{"p_l",#N/A,FALSE,"Summary Accounts"}</definedName>
    <definedName name="yyyyyy" hidden="1">{"p_l",#N/A,FALSE,"Summary Accounts"}</definedName>
    <definedName name="z" localSheetId="0" hidden="1">{#N/A,#N/A,FALSE,"Sheet1";#N/A,#N/A,FALSE,"Sheet2";#N/A,#N/A,FALSE,"Sheet3";#N/A,#N/A,FALSE,"Sheet4";#N/A,#N/A,FALSE,"Sheet5";#N/A,#N/A,FALSE,"Sheet6"}</definedName>
    <definedName name="z" hidden="1">{#N/A,#N/A,FALSE,"Sheet1";#N/A,#N/A,FALSE,"Sheet2";#N/A,#N/A,FALSE,"Sheet3";#N/A,#N/A,FALSE,"Sheet4";#N/A,#N/A,FALSE,"Sheet5";#N/A,#N/A,FALSE,"Sheet6"}</definedName>
    <definedName name="Z_0D0B497D_21F8_11D5_91EF_00B0D058E5A7_.wvu.Cols" hidden="1">#REF!</definedName>
    <definedName name="Z_0D0B497D_21F8_11D5_91EF_00B0D058E5A7_.wvu.FilterData" hidden="1">#REF!</definedName>
    <definedName name="Z_13BD3E98_51DD_11D6_A228_0080C8462058_.wvu.FilterData" hidden="1">#REF!</definedName>
    <definedName name="Z_14C78B40_A603_11D2_998A_00600852BDE3_.wvu.FilterData" hidden="1">#REF!</definedName>
    <definedName name="Z_1984B831_9A90_46C7_AEB2_80419B34B7B4_.wvu.Cols" hidden="1">#REF!,#REF!</definedName>
    <definedName name="Z_1984B831_9A90_46C7_AEB2_80419B34B7B4_.wvu.Rows" hidden="1">#REF!,#REF!</definedName>
    <definedName name="Z_1A428500_A47D_11D2_8B48_00104BC8FF90_.wvu.Cols" hidden="1">#REF!,#REF!,#REF!,#REF!,#REF!</definedName>
    <definedName name="Z_1A428500_A47D_11D2_8B48_00104BC8FF90_.wvu.FilterData" hidden="1">#REF!</definedName>
    <definedName name="Z_1A428500_A47D_11D2_8B48_00104BC8FF90_.wvu.PrintTitles" hidden="1">#REF!</definedName>
    <definedName name="Z_1A5245C1_0941_11D3_8B48_00104BC90083_.wvu.FilterData" hidden="1">#REF!</definedName>
    <definedName name="Z_23107563_0F5E_11D3_8B48_00104BC90083_.wvu.FilterData" hidden="1">#REF!</definedName>
    <definedName name="Z_31E548A2_5A80_11D3_99CA_00105A92B426_.wvu.Cols" hidden="1">#REF!,#REF!,#REF!</definedName>
    <definedName name="Z_31E548A2_5A80_11D3_99CA_00105A92B426_.wvu.PrintTitles" hidden="1">#REF!</definedName>
    <definedName name="Z_31E548A3_5A80_11D3_99CA_00105A92B426_.wvu.Cols" hidden="1">#REF!,#REF!,#REF!,#REF!</definedName>
    <definedName name="Z_31E548A3_5A80_11D3_99CA_00105A92B426_.wvu.PrintTitles" hidden="1">#REF!</definedName>
    <definedName name="Z_3620368D_5835_11D6_A226_000B0D7B46A0_.wvu.FilterData" hidden="1">#REF!</definedName>
    <definedName name="Z_36E25161_A47B_11D2_998A_00600852BDE3_.wvu.Cols" hidden="1">#REF!</definedName>
    <definedName name="Z_36E25161_A47B_11D2_998A_00600852BDE3_.wvu.FilterData" hidden="1">#REF!</definedName>
    <definedName name="Z_36E25161_A47B_11D2_998A_00600852BDE3_.wvu.PrintArea" hidden="1">#REF!</definedName>
    <definedName name="Z_36E2516C_A47B_11D2_998A_00600852BDE3_.wvu.FilterData" hidden="1">#REF!</definedName>
    <definedName name="Z_383F4A81_015B_11D3_8B48_00104BC90062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150CFFA_CDFE_11D5_A23A_00105A9FC41D_.wvu.FilterData" hidden="1">#REF!</definedName>
    <definedName name="Z_4150CFFA_CDFE_11D5_A23A_00105A9FC41D_.wvu.PrintArea" hidden="1">#REF!</definedName>
    <definedName name="Z_4880AFAB_415F_11D6_A228_0080C8462058_.wvu.Cols" hidden="1">#REF!</definedName>
    <definedName name="Z_4880AFAB_415F_11D6_A228_0080C8462058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6342583_32AF_11D3_8B48_00104BC90062_.wvu.FilterData" hidden="1">#REF!</definedName>
    <definedName name="Z_572C67A6_4BB5_11D6_A228_0080C8462058_.wvu.Cols" hidden="1">#REF!</definedName>
    <definedName name="Z_572C67A6_4BB5_11D6_A228_0080C8462058_.wvu.FilterData" hidden="1">#REF!</definedName>
    <definedName name="Z_572C67AD_4BB5_11D6_A228_0080C8462058_.wvu.FilterData" hidden="1">#REF!</definedName>
    <definedName name="Z_572C67B2_4BB5_11D6_A228_0080C8462058_.wvu.FilterData" hidden="1">#REF!</definedName>
    <definedName name="Z_572C67B3_4BB5_11D6_A228_0080C8462058_.wvu.FilterData" hidden="1">#REF!</definedName>
    <definedName name="Z_59EEAE06_FED1_11D2_8B48_00104BC90062_.wvu.FilterData" hidden="1">#REF!</definedName>
    <definedName name="Z_5E285FFD_4B60_11D6_B481_00805F9BDB1E_.wvu.Cols" hidden="1">#REF!,#REF!,#REF!</definedName>
    <definedName name="Z_5E486CA2_CFE9_11D2_998A_00600852BDE3_.wvu.FilterData" hidden="1">#REF!</definedName>
    <definedName name="Z_653D684D_1CC3_11D3_8B48_00104BC90083_.wvu.FilterData" hidden="1">#REF!</definedName>
    <definedName name="Z_66823FC6_E5BD_11D6_8D6E_006097C6BD6E_.wvu.FilterData" hidden="1">#REF!</definedName>
    <definedName name="Z_66823FC6_E5BD_11D6_8D6E_006097C6BD6E_.wvu.PrintArea" hidden="1">#REF!</definedName>
    <definedName name="Z_66823FC6_E5BD_11D6_8D6E_006097C6BD6E_.wvu.PrintTitles" hidden="1">#REF!,#REF!</definedName>
    <definedName name="Z_66823FC6_E5BD_11D6_8D6E_006097C6BD6E_.wvu.Rows" hidden="1">#REF!</definedName>
    <definedName name="Z_677C6337_708E_11D3_B400_0000E21227E8_.wvu.Rows" hidden="1">#REF!</definedName>
    <definedName name="Z_699A6BD7_A6CD_11D2_998A_00600852BDE3_.wvu.FilterData" hidden="1">#REF!</definedName>
    <definedName name="Z_699A6BD9_A6CD_11D2_998A_00600852BDE3_.wvu.FilterData" hidden="1">#REF!</definedName>
    <definedName name="Z_6E0ADC42_F22D_11D0_8C74_006097B34275_.wvu.FilterData" hidden="1">#REF!</definedName>
    <definedName name="Z_72FBFB64_4C66_11D6_A228_0080C8462058_.wvu.FilterData" hidden="1">#REF!</definedName>
    <definedName name="Z_75BD7069_575E_11D6_A228_0080C8462058_.wvu.FilterData" hidden="1">#REF!</definedName>
    <definedName name="Z_762F7CC0_BD85_11D3_99CC_00105A92B426_.wvu.Cols" hidden="1">#REF!,#REF!</definedName>
    <definedName name="Z_762F7CC0_BD85_11D3_99CC_00105A92B426_.wvu.PrintArea" hidden="1">#REF!</definedName>
    <definedName name="Z_762F7CC0_BD85_11D3_99CC_00105A92B426_.wvu.PrintTitles" hidden="1">#REF!</definedName>
    <definedName name="Z_7AF9055E_0655_4111_A637_B53B24197F3F_.wvu.Rows" hidden="1">#REF!</definedName>
    <definedName name="Z_7C083C9E_7EF4_11D2_8354_0060B02DA3AB_.wvu.Cols" hidden="1">#REF!</definedName>
    <definedName name="Z_7C083C9E_7EF4_11D2_8354_0060B02DA3AB_.wvu.PrintTitles" hidden="1">#REF!</definedName>
    <definedName name="Z_7C083C9E_7EF4_11D2_8354_0060B02DA3AB_.wvu.Rows" hidden="1">#REF!,#REF!,#REF!</definedName>
    <definedName name="Z_7C083C9F_7EF4_11D2_8354_0060B02DA3AB_.wvu.PrintTitles" hidden="1">#REF!</definedName>
    <definedName name="Z_7C083CD1_7EF4_11D2_8354_0060B02DA3AB_.wvu.Cols" hidden="1">#REF!</definedName>
    <definedName name="Z_7C083CD1_7EF4_11D2_8354_0060B02DA3AB_.wvu.PrintTitles" hidden="1">#REF!</definedName>
    <definedName name="Z_7C083CD1_7EF4_11D2_8354_0060B02DA3AB_.wvu.Rows" hidden="1">#REF!,#REF!,#REF!</definedName>
    <definedName name="Z_7C083CD2_7EF4_11D2_8354_0060B02DA3AB_.wvu.Cols" hidden="1">#REF!</definedName>
    <definedName name="Z_7C083CD2_7EF4_11D2_8354_0060B02DA3AB_.wvu.PrintTitles" hidden="1">#REF!</definedName>
    <definedName name="Z_7C083CD2_7EF4_11D2_8354_0060B02DA3AB_.wvu.Rows" hidden="1">#REF!,#REF!,#REF!</definedName>
    <definedName name="Z_7E0A45E1_0993_11D1_8C74_006097B34275_.wvu.FilterData" hidden="1">#REF!</definedName>
    <definedName name="Z_81316D81_58EA_11D6_A226_000B0D7B46A0_.wvu.FilterData" hidden="1">#REF!</definedName>
    <definedName name="Z_81316D83_58EA_11D6_A226_000B0D7B46A0_.wvu.FilterData" hidden="1">#REF!</definedName>
    <definedName name="Z_82212322_246D_11D1_8C74_006097B34275_.wvu.FilterData" hidden="1">#REF!</definedName>
    <definedName name="Z_83639F23_4D43_11D6_A226_000B0D7B46A0_.wvu.FilterData" hidden="1">#REF!</definedName>
    <definedName name="Z_84359783_AC55_11D5_A226_0080C8462058_.wvu.Rows" hidden="1">#REF!,#REF!,#REF!,#REF!,#REF!,#REF!,#REF!,#REF!,#REF!,#REF!,#REF!,#REF!,#REF!,#REF!,#REF!,#REF!,#REF!,#REF!,#REF!</definedName>
    <definedName name="Z_85E7D15F_9559_4B54_A2EE_DCCECE011EC4_.wvu.Cols" hidden="1">#REF!</definedName>
    <definedName name="Z_863460AA_BD83_11D1_984B_0800096F787F_.wvu.Cols" hidden="1">#REF!</definedName>
    <definedName name="Z_863460AA_BD83_11D1_984B_0800096F787F_.wvu.Rows" hidden="1">#REF!,#REF!</definedName>
    <definedName name="Z_863460C4_BD83_11D1_984B_0800096F787F_.wvu.Cols" hidden="1">#REF!</definedName>
    <definedName name="Z_863460C4_BD83_11D1_984B_0800096F787F_.wvu.Rows" hidden="1">#REF!,#REF!</definedName>
    <definedName name="Z_863460D9_BD83_11D1_984B_0800096F787F_.wvu.Rows" hidden="1">#REF!,#REF!</definedName>
    <definedName name="Z_863460EF_BD83_11D1_984B_0800096F787F_.wvu.Rows" hidden="1">#REF!,#REF!</definedName>
    <definedName name="Z_870DA93B_C7EC_11D1_935A_00A0C95F1362_.wvu.PrintArea" hidden="1">#REF!</definedName>
    <definedName name="Z_8767D4B0_8512_11D2_8354_0060B02DA3AB_.wvu.Cols" hidden="1">#REF!</definedName>
    <definedName name="Z_8767D4B0_8512_11D2_8354_0060B02DA3AB_.wvu.Rows" hidden="1">#REF!,#REF!</definedName>
    <definedName name="Z_8767D4E2_8512_11D2_8354_0060B02DA3AB_.wvu.Rows" hidden="1">#REF!,#REF!</definedName>
    <definedName name="Z_8B5AE314_5CAB_464D_9090_BC605E646C55_.wvu.FilterData" hidden="1">#REF!</definedName>
    <definedName name="Z_8CFDCC22_B10D_11D2_998A_00600852BDE3_.wvu.FilterData" hidden="1">#REF!</definedName>
    <definedName name="Z_8DFF34A6_717E_47BE_B868_D1681DBE72CD_.wvu.Cols" hidden="1">#REF!</definedName>
    <definedName name="Z_9030C8A2_ECCE_11D2_8B49_00104BC8FF90_.wvu.FilterData" hidden="1">#REF!</definedName>
    <definedName name="Z_991B25C4_3380_11D3_8B48_00104BC90062_.wvu.FilterData" hidden="1">#REF!</definedName>
    <definedName name="Z_99BF28AF_B144_11D2_998A_00600852BDE3_.wvu.FilterData" hidden="1">#REF!</definedName>
    <definedName name="Z_99BF28B1_B144_11D2_998A_00600852BDE3_.wvu.FilterData" hidden="1">#REF!</definedName>
    <definedName name="Z_A4EB05C6_F31E_11D2_8B49_00104BC8FF90_.wvu.FilterData" hidden="1">#REF!</definedName>
    <definedName name="Z_A523C159_E8BA_11D1_984B_0800096F787F_.wvu.PrintTitles" hidden="1">#REF!</definedName>
    <definedName name="Z_A523C15B_E8BA_11D1_984B_0800096F787F_.wvu.Cols" hidden="1">#REF!</definedName>
    <definedName name="Z_A523C15B_E8BA_11D1_984B_0800096F787F_.wvu.PrintTitles" hidden="1">#REF!</definedName>
    <definedName name="Z_A523C15B_E8BA_11D1_984B_0800096F787F_.wvu.Rows" hidden="1">#REF!,#REF!,#REF!,#REF!,#REF!,#REF!,#REF!,#REF!,#REF!,#REF!,#REF!,#REF!</definedName>
    <definedName name="Z_A523C15D_E8BA_11D1_984B_0800096F787F_.wvu.Cols" hidden="1">#REF!</definedName>
    <definedName name="Z_A523C15D_E8BA_11D1_984B_0800096F787F_.wvu.PrintTitles" hidden="1">#REF!</definedName>
    <definedName name="Z_A523C15D_E8BA_11D1_984B_0800096F787F_.wvu.Rows" hidden="1">#REF!,#REF!,#REF!,#REF!,#REF!,#REF!,#REF!,#REF!,#REF!,#REF!,#REF!,#REF!,#REF!,#REF!,#REF!,#REF!,#REF!,#REF!,#REF!,#REF!</definedName>
    <definedName name="Z_AB2AECE7_FC86_11D2_8B48_00104BC90062_.wvu.FilterData" hidden="1">#REF!</definedName>
    <definedName name="Z_AB2AECF3_FC86_11D2_8B48_00104BC90062_.wvu.FilterData" hidden="1">#REF!</definedName>
    <definedName name="Z_B0C1DE23_56AB_11D6_A226_000B0D7B46A0_.wvu.FilterData" hidden="1">#REF!</definedName>
    <definedName name="Z_B0C1DE25_56AB_11D6_A226_000B0D7B46A0_.wvu.FilterData" hidden="1">#REF!</definedName>
    <definedName name="Z_B8175DE2_E97C_11D0_8C74_006097B34275_.wvu.FilterData" hidden="1">#REF!</definedName>
    <definedName name="Z_B8A42129_8AFC_4C88_A4BF_631F42E72A3A_.wvu.Cols" hidden="1">#REF!,#REF!,#REF!,#REF!,#REF!</definedName>
    <definedName name="Z_B95E65D2_C3C5_11D1_A8A9_0060B0B50E12_.wvu.Cols" hidden="1">#REF!</definedName>
    <definedName name="Z_BAD6327A_C1DE_4C2B_B8C0_5F9A9B05B620_.wvu.FilterData" hidden="1">#REF!</definedName>
    <definedName name="Z_BAD6327A_C1DE_4C2B_B8C0_5F9A9B05B620_.wvu.PrintArea" hidden="1">#REF!</definedName>
    <definedName name="Z_BAD6327A_C1DE_4C2B_B8C0_5F9A9B05B620_.wvu.PrintTitles" hidden="1">#REF!,#REF!</definedName>
    <definedName name="Z_BAD6327A_C1DE_4C2B_B8C0_5F9A9B05B620_.wvu.Rows" hidden="1">#REF!</definedName>
    <definedName name="Z_BB25457C_BE53_11D1_A8A9_0060B0B50E12_.wvu.Cols" hidden="1">#REF!</definedName>
    <definedName name="Z_C0691B42_F268_11D2_8B49_00104BC8FF90_.wvu.FilterData" hidden="1">#REF!</definedName>
    <definedName name="Z_C3B9BE41_3BE3_11D1_A010_008048EDE3E8_.wvu.PrintArea" hidden="1">#REF!</definedName>
    <definedName name="Z_C3FB6A3B_0D2E_4148_B4ED_0A994B5FCC39_.wvu.Cols" hidden="1">#REF!</definedName>
    <definedName name="Z_CA9F2F82_BC19_11D2_998A_00600852BDE3_.wvu.FilterData" hidden="1">#REF!</definedName>
    <definedName name="Z_CB0E8320_907C_11D8_8F9A_003018607B51_.wvu.Cols" hidden="1">#REF!</definedName>
    <definedName name="Z_CDAC0388_F399_4247_B713_02CC89E7C46F_.wvu.PrintTitles" hidden="1">#REF!</definedName>
    <definedName name="Z_D101F34C_55D1_11D6_A226_000B0D7B46A0_.wvu.FilterData" hidden="1">#REF!</definedName>
    <definedName name="Z_D536FACA_B5A0_11D1_8AB9_008048EDE3E8_.wvu.PrintArea" hidden="1">#REF!</definedName>
    <definedName name="Z_D90FB3E0_C6CC_11D4_A263_FA2A55EA7737_.wvu.Rows" hidden="1">#REF!</definedName>
    <definedName name="Z_D9B131C2_B508_11D2_998A_00600852BDE3_.wvu.FilterData" hidden="1">#REF!</definedName>
    <definedName name="Z_D9B131C3_B508_11D2_998A_00600852BDE3_.wvu.FilterData" hidden="1">#REF!</definedName>
    <definedName name="Z_DA938486_0201_11D3_8B48_00104BC90062_.wvu.FilterData" hidden="1">#REF!</definedName>
    <definedName name="Z_DCA8D884_2605_11D1_A510_006097B38048_.wvu.FilterData" hidden="1">#REF!</definedName>
    <definedName name="Z_DFB1EF00_7A57_11D3_8B49_00104BC8FFCA_.wvu.FilterData" hidden="1">#REF!</definedName>
    <definedName name="Z_DFB1EF02_7A57_11D3_8B49_00104BC8FFCA_.wvu.FilterData" hidden="1">#REF!</definedName>
    <definedName name="Z_DFB1EF0E_7A57_11D3_8B49_00104BC8FFCA_.wvu.FilterData" hidden="1">#REF!</definedName>
    <definedName name="Z_E2699901_D040_11D0_A510_006097B38048_.wvu.FilterData" hidden="1">#REF!</definedName>
    <definedName name="Z_E3C7B981_6570_11D9_9364_000D600563D5_.wvu.PrintArea" hidden="1">#REF!</definedName>
    <definedName name="Z_E3C7B981_6570_11D9_9364_000D600563D5_.wvu.PrintTitles" hidden="1">#REF!</definedName>
    <definedName name="Z_E738B51C_56AE_4F9F_8D8A_36AD6137B90D_.wvu.Cols" localSheetId="0" hidden="1">#REF!</definedName>
    <definedName name="Z_E738B51C_56AE_4F9F_8D8A_36AD6137B90D_.wvu.Cols" hidden="1">#REF!</definedName>
    <definedName name="Z_E738B51C_56AE_4F9F_8D8A_36AD6137B90D_.wvu.PrintArea" localSheetId="0" hidden="1">#REF!</definedName>
    <definedName name="Z_E738B51C_56AE_4F9F_8D8A_36AD6137B90D_.wvu.PrintArea" hidden="1">#REF!</definedName>
    <definedName name="Z_E738B51C_56AE_4F9F_8D8A_36AD6137B90D_.wvu.PrintTitles" localSheetId="0" hidden="1">#REF!,#REF!</definedName>
    <definedName name="Z_E738B51C_56AE_4F9F_8D8A_36AD6137B90D_.wvu.PrintTitles" hidden="1">#REF!,#REF!</definedName>
    <definedName name="Z_E738B51C_56AE_4F9F_8D8A_36AD6137B90D_.wvu.Rows" hidden="1">#REF!</definedName>
    <definedName name="Z_E7733DF2_82D5_11D2_984B_0800096F787F_.wvu.Cols" hidden="1">#REF!</definedName>
    <definedName name="Z_E7733DF2_82D5_11D2_984B_0800096F787F_.wvu.PrintTitles" hidden="1">#REF!</definedName>
    <definedName name="Z_E7733DF2_82D5_11D2_984B_0800096F787F_.wvu.Rows" hidden="1">#REF!,#REF!,#REF!</definedName>
    <definedName name="Z_E7733DF3_82D5_11D2_984B_0800096F787F_.wvu.PrintTitles" hidden="1">#REF!</definedName>
    <definedName name="Z_E7733E25_82D5_11D2_984B_0800096F787F_.wvu.Cols" hidden="1">#REF!</definedName>
    <definedName name="Z_E7733E25_82D5_11D2_984B_0800096F787F_.wvu.PrintTitles" hidden="1">#REF!</definedName>
    <definedName name="Z_E7733E25_82D5_11D2_984B_0800096F787F_.wvu.Rows" hidden="1">#REF!,#REF!,#REF!</definedName>
    <definedName name="Z_E7733E26_82D5_11D2_984B_0800096F787F_.wvu.Cols" hidden="1">#REF!</definedName>
    <definedName name="Z_E7733E26_82D5_11D2_984B_0800096F787F_.wvu.PrintTitles" hidden="1">#REF!</definedName>
    <definedName name="Z_E7733E26_82D5_11D2_984B_0800096F787F_.wvu.Rows" hidden="1">#REF!,#REF!,#REF!</definedName>
    <definedName name="Z_EFEE9F44_D9C6_11D1_B555_0060940C8B94_.wvu.FilterData" hidden="1">#REF!</definedName>
    <definedName name="Z_EFEE9F44_D9C6_11D1_B555_0060940C8B94_.wvu.PrintTitles" hidden="1">#REF!</definedName>
    <definedName name="Z_F2221445_32B7_11D3_8B48_00104BC90083_.wvu.FilterData" hidden="1">#REF!</definedName>
    <definedName name="Z_F2402C05_CC0B_4874_9BE6_15334FFF2473_.wvu.Cols" hidden="1">#REF!,#REF!</definedName>
    <definedName name="Z_F2402C05_CC0B_4874_9BE6_15334FFF2473_.wvu.FilterData" hidden="1">#REF!</definedName>
    <definedName name="Z_F2402C05_CC0B_4874_9BE6_15334FFF2473_.wvu.PrintArea" hidden="1">#REF!</definedName>
    <definedName name="Z_F2402C05_CC0B_4874_9BE6_15334FFF2473_.wvu.PrintTitles" hidden="1">#REF!,#REF!</definedName>
    <definedName name="zay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zay" hidden="1">{#N/A,#N/A,FALSE,"DIR-REP";#N/A,#N/A,FALSE,"AUD-REPORT";#N/A,#N/A,FALSE,"P7L&amp;BS";#N/A,#N/A,FALSE,"NOTES";#N/A,#N/A,FALSE,"FA";#N/A,#N/A,FALSE,"NOTES (2)";#N/A,#N/A,FALSE,"Schedule  IV";#N/A,#N/A,FALSE,"Schedule V"}</definedName>
    <definedName name="zaza" localSheetId="0" hidden="1">{#N/A,#N/A,TRUE,"Cover sheet";#N/A,#N/A,TRUE,"DCF analysis";#N/A,#N/A,TRUE,"WACC calculation"}</definedName>
    <definedName name="zaza" hidden="1">{#N/A,#N/A,TRUE,"Cover sheet";#N/A,#N/A,TRUE,"DCF analysis";#N/A,#N/A,TRUE,"WACC calculation"}</definedName>
    <definedName name="zazaz" localSheetId="0" hidden="1">{#N/A,#N/A,TRUE,"Cover sheet";#N/A,#N/A,TRUE,"DCF analysis";#N/A,#N/A,TRUE,"WACC calculation"}</definedName>
    <definedName name="zazaz" hidden="1">{#N/A,#N/A,TRUE,"Cover sheet";#N/A,#N/A,TRUE,"DCF analysis";#N/A,#N/A,TRUE,"WACC calculation"}</definedName>
    <definedName name="zb" localSheetId="0" hidden="1">{#N/A,#N/A,FALSE,"Sheet1";#N/A,#N/A,FALSE,"Sheet2";#N/A,#N/A,FALSE,"Sheet3";#N/A,#N/A,FALSE,"Sheet4";#N/A,#N/A,FALSE,"Sheet5";#N/A,#N/A,FALSE,"Sheet6"}</definedName>
    <definedName name="zb" hidden="1">{"toptrial",#N/A,TRUE,"toptrial";"adjustment",#N/A,TRUE,"toptrial";"voucher",#N/A,TRUE,"toptrial"}</definedName>
    <definedName name="zdf" localSheetId="0" hidden="1">{#N/A,#N/A,TRUE,"Falcons_Standalone";#N/A,#N/A,TRUE,"Target_Input";#N/A,#N/A,TRUE,"Target_Calendarized"}</definedName>
    <definedName name="zdf" hidden="1">{#N/A,#N/A,TRUE,"Falcons_Standalone";#N/A,#N/A,TRUE,"Target_Input";#N/A,#N/A,TRUE,"Target_Calendarized"}</definedName>
    <definedName name="zedaqzd" localSheetId="0" hidden="1">{#N/A,#N/A,FALSE,"Operations";#N/A,#N/A,FALSE,"Financials"}</definedName>
    <definedName name="zedaqzd" hidden="1">{#N/A,#N/A,FALSE,"Operations";#N/A,#N/A,FALSE,"Financials"}</definedName>
    <definedName name="zefz" localSheetId="0" hidden="1">{"First Page",#N/A,FALSE,"Surfactants LBO";"Second Page",#N/A,FALSE,"Surfactants LBO"}</definedName>
    <definedName name="zefz" hidden="1">{"First Page",#N/A,FALSE,"Surfactants LBO";"Second Page",#N/A,FALSE,"Surfactants LBO"}</definedName>
    <definedName name="zf" localSheetId="0" hidden="1">{#N/A,#N/A,FALSE,"II-2 POP.HH";#N/A,#N/A,FALSE,"II-3 AGE.DIST";#N/A,#N/A,FALSE,"II-4 HH.DIST";#N/A,#N/A,FALSE,"II-5 EMP.INDUS"}</definedName>
    <definedName name="zf" hidden="1">{#N/A,#N/A,FALSE,"II-2 POP.HH";#N/A,#N/A,FALSE,"II-3 AGE.DIST";#N/A,#N/A,FALSE,"II-4 HH.DIST";#N/A,#N/A,FALSE,"II-5 EMP.INDUS"}</definedName>
    <definedName name="zfill" hidden="1">#REF!</definedName>
    <definedName name="ziot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i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joa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o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KZK" hidden="1">#REF!</definedName>
    <definedName name="ZKZLL" hidden="1">#REF!</definedName>
    <definedName name="zotnals.r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otnals.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ptl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zptls" hidden="1">{#N/A,#N/A,FALSE,"DIR-REP";#N/A,#N/A,FALSE,"AUD-REPORT";#N/A,#N/A,FALSE,"P7L&amp;BS";#N/A,#N/A,FALSE,"NOTES";#N/A,#N/A,FALSE,"FA";#N/A,#N/A,FALSE,"NOTES (2)";#N/A,#N/A,FALSE,"Schedule  IV";#N/A,#N/A,FALSE,"Schedule V"}</definedName>
    <definedName name="ZUKLTZLZL" hidden="1">#REF!</definedName>
    <definedName name="zulizlizil" localSheetId="0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ulizlizi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ulzulzul" localSheetId="0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zulzulzul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zx" localSheetId="0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zx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zxc" localSheetId="0" hidden="1">{"mgmt forecast",#N/A,FALSE,"Mgmt Forecast";"dcf table",#N/A,FALSE,"Mgmt Forecast";"sensitivity",#N/A,FALSE,"Mgmt Forecast";"table inputs",#N/A,FALSE,"Mgmt Forecast";"calculations",#N/A,FALSE,"Mgmt Forecast"}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yx" localSheetId="0" hidden="1">{#N/A,#N/A,FALSE,"pop.hh";#N/A,#N/A,FALSE,"age.dist";#N/A,#N/A,FALSE,"hh.income";#N/A,#N/A,FALSE,"hh.chars"}</definedName>
    <definedName name="zyx" hidden="1">{#N/A,#N/A,FALSE,"pop.hh";#N/A,#N/A,FALSE,"age.dist";#N/A,#N/A,FALSE,"hh.income";#N/A,#N/A,FALSE,"hh.chars"}</definedName>
    <definedName name="zz" localSheetId="0" hidden="1">{"bs",#N/A,FALSE,"SCF"}</definedName>
    <definedName name="zz" hidden="1">{"bs",#N/A,FALSE,"SCF"}</definedName>
    <definedName name="ZZ_EVCOMOPTS" hidden="1">10</definedName>
    <definedName name="zz_ns" localSheetId="0" hidden="1">{#N/A,#N/A,FALSE,"Bezirk SW";#N/A,#N/A,FALSE,"Dir S (GK)";#N/A,#N/A,FALSE,"Dir FR (PK)"}</definedName>
    <definedName name="zz_ns" hidden="1">{#N/A,#N/A,FALSE,"Bezirk SW";#N/A,#N/A,FALSE,"Dir S (GK)";#N/A,#N/A,FALSE,"Dir FR (PK)"}</definedName>
    <definedName name="zza" localSheetId="0" hidden="1">{"en_tete",#N/A,FALSE,"Index";"vue",#N/A,FALSE,"P.-0";#N/A,#N/A,FALSE,"P.-1";#N/A,#N/A,FALSE,"P.- 2a";#N/A,#N/A,FALSE,"P.- 3";#N/A,#N/A,FALSE,"P.- 4";#N/A,#N/A,FALSE,"B.-4b";#N/A,#N/A,FALSE,"B.-8"}</definedName>
    <definedName name="zza" hidden="1">{"en_tete",#N/A,FALSE,"Index";"vue",#N/A,FALSE,"P.-0";#N/A,#N/A,FALSE,"P.-1";#N/A,#N/A,FALSE,"P.- 2a";#N/A,#N/A,FALSE,"P.- 3";#N/A,#N/A,FALSE,"P.- 4";#N/A,#N/A,FALSE,"B.-4b";#N/A,#N/A,FALSE,"B.-8"}</definedName>
    <definedName name="zzéé" localSheetId="0" hidden="1">{#N/A,#N/A,FALSE,"Sheet1"}</definedName>
    <definedName name="zzéé" hidden="1">{#N/A,#N/A,FALSE,"Sheet1"}</definedName>
    <definedName name="zzééz" localSheetId="0" hidden="1">{#N/A,#N/A,FALSE,"Sheet1"}</definedName>
    <definedName name="zzééz" hidden="1">{#N/A,#N/A,FALSE,"Sheet1"}</definedName>
    <definedName name="zzz.." localSheetId="0" hidden="1">{#N/A,#N/A,TRUE,"GEM Total";#N/A,#N/A,TRUE,"Final Assembly";#N/A,#N/A,TRUE,"Cleaning";#N/A,#N/A,TRUE,"Schooping,Clearing";#N/A,#N/A,TRUE,"Winding"}</definedName>
    <definedName name="zzz.." hidden="1">{#N/A,#N/A,TRUE,"GEM Total";#N/A,#N/A,TRUE,"Final Assembly";#N/A,#N/A,TRUE,"Cleaning";#N/A,#N/A,TRUE,"Schooping,Clearing";#N/A,#N/A,TRUE,"Winding"}</definedName>
    <definedName name="ZZZA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A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ZxxxxxZZZZZ" localSheetId="0" hidden="1">{"Print Summary",#N/A,FALSE,"Summary Analysis";"Print FCF",#N/A,FALSE,"FCF Analysis";"Print Sensitivity",#N/A,FALSE,"Sensitivity Analysis";"Print NAV",#N/A,FALSE,"NAV Analysis";"Print Credit",#N/A,FALSE,"Credit Analysis"}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zzzzz" hidden="1">#REF!</definedName>
    <definedName name="ZZZZZZZZZZZZZ" localSheetId="0" hidden="1">#REF!</definedName>
    <definedName name="ZZZZZZZZZZZZZ" hidden="1">#REF!</definedName>
    <definedName name="zzzzzzzzzzzzzzzzzzzzzzz" localSheetId="0" hidden="1">{#N/A,#N/A,TRUE,"Cover sheet";#N/A,#N/A,TRUE,"INPUTS";#N/A,#N/A,TRUE,"OUTPUTS";#N/A,#N/A,TRUE,"VALUATION"}</definedName>
    <definedName name="zzzzzzzzzzzzzzzzzzzzzzz" hidden="1">{#N/A,#N/A,TRUE,"Cover sheet";#N/A,#N/A,TRUE,"INPUTS";#N/A,#N/A,TRUE,"OUTPUTS";#N/A,#N/A,TRUE,"VALUATION"}</definedName>
    <definedName name="сфша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сфш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ר" localSheetId="0" hidden="1">{"היטקס2סריגה",#N/A,FALSE,"היטקס מסרגות"}</definedName>
    <definedName name="ר" hidden="1">{"היטקס2סריגה",#N/A,FALSE,"היטקס מסרגות"}</definedName>
    <definedName name="ด" hidden="1">#REF!</definedName>
    <definedName name="ผู้เข้าประชุมKz" localSheetId="0" hidden="1">{#N/A,#N/A,FALSE,"Eff-SSC2"}</definedName>
    <definedName name="ผู้เข้าประชุมKz" hidden="1">{#N/A,#N/A,FALSE,"Eff-SSC2"}</definedName>
    <definedName name="พพเเ" localSheetId="0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พพเเ" hidden="1">{"sum_mth",#N/A,FALSE,"SUM-MTH";"sum_mth_สะสม",#N/A,FALSE,"SUM-MTH";"sum_mth_ผลการดำเนินงาน",#N/A,FALSE,"SUM-MTH";"sum_mth_ผลการดำเนินงาน_สะสม",#N/A,FALSE,"SUM-MTH"}</definedName>
    <definedName name="ราม" localSheetId="0" hidden="1">{"'สาทร'!$A$1:$V$42"}</definedName>
    <definedName name="ราม" hidden="1">{"'สาทร'!$A$1:$V$42"}</definedName>
    <definedName name="าาา" localSheetId="0" hidden="1">{"'Model'!$A$1:$N$53"}</definedName>
    <definedName name="าาา" hidden="1">{"'Model'!$A$1:$N$53"}</definedName>
    <definedName name="าาาา" localSheetId="0" hidden="1">{"'Model'!$A$1:$N$53"}</definedName>
    <definedName name="าาาา" hidden="1">{"'Model'!$A$1:$N$53"}</definedName>
    <definedName name="把" localSheetId="0" hidden="1">{#N/A,#N/A,FALSE,"Virgin Flightdeck"}</definedName>
    <definedName name="把" hidden="1">{#N/A,#N/A,FALSE,"Virgin Flightdeck"}</definedName>
    <definedName name="备用" localSheetId="0" hidden="1">{#N/A,#N/A,FALSE,"OffAdvance";#N/A,#N/A,FALSE,"OffExpRprt";#N/A,#N/A,FALSE,"Entertmnt";#N/A,#N/A,FALSE,"Promotion";#N/A,#N/A,FALSE,"Travelling"}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财务费用检查情况表" localSheetId="0" hidden="1">{#N/A,#N/A,FALSE,"负债表"}</definedName>
    <definedName name="财务费用检查情况表" hidden="1">{#N/A,#N/A,FALSE,"负债表"}</definedName>
    <definedName name="仓储物流费2" hidden="1">#REF!</definedName>
    <definedName name="국제거래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成本差" hidden="1">#REF!</definedName>
    <definedName name="成吕" localSheetId="0" hidden="1">{#N/A,#N/A,FALSE,"BBPREP"}</definedName>
    <definedName name="成吕" hidden="1">{#N/A,#N/A,FALSE,"BBPREP"}</definedName>
    <definedName name="存货询证2" localSheetId="0" hidden="1">{"ssssss",#N/A,FALSE,"太原"}</definedName>
    <definedName name="存货询证2" hidden="1">{"ssssss",#N/A,FALSE,"太原"}</definedName>
    <definedName name="贷款明细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贷款明细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的" hidden="1">#REF!</definedName>
    <definedName name="杜一杜" localSheetId="0" hidden="1">{"ssssss",#N/A,FALSE,"太原"}</definedName>
    <definedName name="杜一杜" hidden="1">{"ssssss",#N/A,FALSE,"太原"}</definedName>
    <definedName name="发发发发发发" localSheetId="0" hidden="1">{#N/A,#N/A,FALSE,"OffAdvance";#N/A,#N/A,FALSE,"OffExpRprt";#N/A,#N/A,FALSE,"Entertmnt";#N/A,#N/A,FALSE,"Promotion";#N/A,#N/A,FALSE,"Travelling"}</definedName>
    <definedName name="发发发发发发" hidden="1">{#N/A,#N/A,FALSE,"OffAdvance";#N/A,#N/A,FALSE,"OffExpRprt";#N/A,#N/A,FALSE,"Entertmnt";#N/A,#N/A,FALSE,"Promotion";#N/A,#N/A,FALSE,"Travelling"}</definedName>
    <definedName name="赶不上" localSheetId="0" hidden="1">{#N/A,#N/A,FALSE,"BBPREP"}</definedName>
    <definedName name="赶不上" hidden="1">{#N/A,#N/A,FALSE,"BBPREP"}</definedName>
    <definedName name="关联方" hidden="1">0</definedName>
    <definedName name="还借款" localSheetId="0" hidden="1">{#N/A,#N/A,FALSE,"负债表"}</definedName>
    <definedName name="还借款" hidden="1">{#N/A,#N/A,FALSE,"负债表"}</definedName>
    <definedName name="和" localSheetId="0" hidden="1">{#N/A,#N/A,FALSE,"M1s Board";#N/A,#N/A,FALSE,"M3 Board";#N/A,#N/A,FALSE,"M6 Board";#N/A,#N/A,FALSE,"M7";#N/A,#N/A,FALSE,"M7B";#N/A,#N/A,FALSE,"M8";#N/A,#N/A,FALSE,"M8A Board";#N/A,#N/A,FALSE,"AF1 Board"}</definedName>
    <definedName name="和" hidden="1">{#N/A,#N/A,FALSE,"M1s Board";#N/A,#N/A,FALSE,"M3 Board";#N/A,#N/A,FALSE,"M6 Board";#N/A,#N/A,FALSE,"M7";#N/A,#N/A,FALSE,"M7B";#N/A,#N/A,FALSE,"M8";#N/A,#N/A,FALSE,"M8A Board";#N/A,#N/A,FALSE,"AF1 Board"}</definedName>
    <definedName name="会计机构负责人" hidden="1">#REF!</definedName>
    <definedName name="活动总结" hidden="1">#REF!</definedName>
    <definedName name="集团内部交易余额表" localSheetId="0" hidden="1">{"ssssss",#N/A,FALSE,"太原"}</definedName>
    <definedName name="集团内部交易余额表" hidden="1">{"ssssss",#N/A,FALSE,"太原"}</definedName>
    <definedName name="借款" localSheetId="0" hidden="1">{#N/A,#N/A,FALSE,"970301";#N/A,#N/A,FALSE,"970302";#N/A,#N/A,FALSE,"970303";#N/A,#N/A,FALSE,"970304";#N/A,#N/A,FALSE,"COM1";#N/A,#N/A,FALSE,"COM2"}</definedName>
    <definedName name="借款" hidden="1">{#N/A,#N/A,FALSE,"970301";#N/A,#N/A,FALSE,"970302";#N/A,#N/A,FALSE,"970303";#N/A,#N/A,FALSE,"970304";#N/A,#N/A,FALSE,"COM1";#N/A,#N/A,FALSE,"COM2"}</definedName>
    <definedName name="进充" hidden="1">#REF!</definedName>
    <definedName name="竟品" hidden="1">#REF!</definedName>
    <definedName name="淨額差" hidden="1">#REF!</definedName>
    <definedName name="苛" localSheetId="0" hidden="1">{"M1sPrint",#N/A,FALSE,"M1s"}</definedName>
    <definedName name="苛" hidden="1">{"M1sPrint",#N/A,FALSE,"M1s"}</definedName>
    <definedName name="科目明细" hidden="1">#REF!</definedName>
    <definedName name="枯" hidden="1">#REF!</definedName>
    <definedName name="庫存成" hidden="1">#REF!</definedName>
    <definedName name="了" localSheetId="0" hidden="1">{"ssssss",#N/A,FALSE,"太原"}</definedName>
    <definedName name="了" hidden="1">{"ssssss",#N/A,FALSE,"太原"}</definedName>
    <definedName name="李华" hidden="1">5</definedName>
    <definedName name="利润" localSheetId="0" hidden="1">{#N/A,#N/A,FALSE,"BBPREP"}</definedName>
    <definedName name="利润" hidden="1">{#N/A,#N/A,FALSE,"BBPREP"}</definedName>
    <definedName name="梅州农业成本明细表0512" localSheetId="0" hidden="1">{#N/A,#N/A,FALSE,"负债表"}</definedName>
    <definedName name="梅州农业成本明细表0512" hidden="1">{#N/A,#N/A,FALSE,"负债表"}</definedName>
    <definedName name="母公司" hidden="1">#REF!</definedName>
    <definedName name="其他应收款" localSheetId="0" hidden="1">#REF!</definedName>
    <definedName name="其他应收款vt" localSheetId="0" hidden="1">{#N/A,#N/A,FALSE,"负债表"}</definedName>
    <definedName name="其他应收款vt" hidden="1">{#N/A,#N/A,FALSE,"负债表"}</definedName>
    <definedName name="其他应收款余额明细表" localSheetId="0" hidden="1">{#N/A,#N/A,FALSE,"负债表"}</definedName>
    <definedName name="其他应收款余额明细表" hidden="1">{#N/A,#N/A,FALSE,"负债表"}</definedName>
    <definedName name="企业负责人" hidden="1">#REF!</definedName>
    <definedName name="青岛" hidden="1">#REF!</definedName>
    <definedName name="区域.2468762" hidden="1">#REF!</definedName>
    <definedName name="区域.2895625" hidden="1">#REF!</definedName>
    <definedName name="区域.2957729" hidden="1">#REF!</definedName>
    <definedName name="区域.2999797" hidden="1">#REF!</definedName>
    <definedName name="区域.2999797_区域" hidden="1">#REF!</definedName>
    <definedName name="区域.3446564" hidden="1">#REF!</definedName>
    <definedName name="区域.3446564_区域" hidden="1">#REF!</definedName>
    <definedName name="区域.5924582_区域" hidden="1">#REF!</definedName>
    <definedName name="区域.6729866" hidden="1">#REF!</definedName>
    <definedName name="区域.6729866_区域" hidden="1">#REF!</definedName>
    <definedName name="区域.7671117" hidden="1">#REF!</definedName>
    <definedName name="区域.7671117_区域" hidden="1">#REF!</definedName>
    <definedName name="区域.79048_区域" hidden="1">#REF!</definedName>
    <definedName name="区域.7911022" hidden="1">#REF!</definedName>
    <definedName name="区域.7911022_区域" hidden="1">#REF!</definedName>
    <definedName name="区域.7988844" hidden="1">#REF!</definedName>
    <definedName name="区域.7988844_区域" hidden="1">#REF!</definedName>
    <definedName name="区域.9149864" hidden="1">#REF!</definedName>
    <definedName name="区域.9149864_区域" hidden="1">#REF!</definedName>
    <definedName name="区域.9495566" hidden="1">#REF!</definedName>
    <definedName name="区域.9495566_区域" hidden="1">#REF!</definedName>
    <definedName name="区域.9574624" hidden="1">#REF!</definedName>
    <definedName name="区域.9574624_区域" hidden="1">#REF!</definedName>
    <definedName name="区域0.9090828" hidden="1">#REF!</definedName>
    <definedName name="区域0.9090828_区域" hidden="1">#REF!</definedName>
    <definedName name="曲艺变动表一" localSheetId="0" hidden="1">{#N/A,#N/A,FALSE,"Marketing";#N/A,#N/A,FALSE,"Selling";#N/A,#N/A,FALSE,"Promotional";#N/A,#N/A,FALSE,"Advertising"}</definedName>
    <definedName name="曲艺变动表一" hidden="1">{#N/A,#N/A,FALSE,"Marketing";#N/A,#N/A,FALSE,"Selling";#N/A,#N/A,FALSE,"Promotional";#N/A,#N/A,FALSE,"Advertising"}</definedName>
    <definedName name="趨勢" hidden="1">#REF!</definedName>
    <definedName name="去" hidden="1">#REF!</definedName>
    <definedName name="权益变动表一" localSheetId="0" hidden="1">{#N/A,#N/A,FALSE,"970301";#N/A,#N/A,FALSE,"970302";#N/A,#N/A,FALSE,"970303";#N/A,#N/A,FALSE,"970304";#N/A,#N/A,FALSE,"COM1";#N/A,#N/A,FALSE,"COM2"}</definedName>
    <definedName name="权益变动表一" hidden="1">{#N/A,#N/A,FALSE,"970301";#N/A,#N/A,FALSE,"970302";#N/A,#N/A,FALSE,"970303";#N/A,#N/A,FALSE,"970304";#N/A,#N/A,FALSE,"COM1";#N/A,#N/A,FALSE,"COM2"}</definedName>
    <definedName name="入力済" localSheetId="0" hidden="1">{"MonthlyRentRoll",#N/A,FALSE,"RentRoll"}</definedName>
    <definedName name="入力済" hidden="1">{"MonthlyRentRoll",#N/A,FALSE,"RentRoll"}</definedName>
    <definedName name="上期" hidden="1">#REF!</definedName>
    <definedName name="上期2" hidden="1">#REF!</definedName>
    <definedName name="式" hidden="1">#REF!,#REF!,#REF!,#REF!,#REF!,#REF!,#REF!,#REF!,#REF!,#REF!,#REF!,#REF!,#REF!,#REF!,#REF!,#REF!,#REF!,#REF!,#REF!</definedName>
    <definedName name="试验" localSheetId="0" hidden="1">{#N/A,#N/A,FALSE,"OffAdvance";#N/A,#N/A,FALSE,"OffExpRprt";#N/A,#N/A,FALSE,"Travelling";#N/A,#N/A,FALSE,"Entertmnt";#N/A,#N/A,FALSE,"Promotion"}</definedName>
    <definedName name="试验" hidden="1">{#N/A,#N/A,FALSE,"OffAdvance";#N/A,#N/A,FALSE,"OffExpRprt";#N/A,#N/A,FALSE,"Travelling";#N/A,#N/A,FALSE,"Entertmnt";#N/A,#N/A,FALSE,"Promotion"}</definedName>
    <definedName name="首任" localSheetId="0" hidden="1">{#N/A,#N/A,FALSE,"OffAdvance";#N/A,#N/A,FALSE,"OffExpRprt";#N/A,#N/A,FALSE,"Entertmnt";#N/A,#N/A,FALSE,"Promotion";#N/A,#N/A,FALSE,"Travelling"}</definedName>
    <definedName name="首任" hidden="1">{#N/A,#N/A,FALSE,"OffAdvance";#N/A,#N/A,FALSE,"OffExpRprt";#N/A,#N/A,FALSE,"Entertmnt";#N/A,#N/A,FALSE,"Promotion";#N/A,#N/A,FALSE,"Travelling"}</definedName>
    <definedName name="ㅁㅁ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外销" localSheetId="0" hidden="1">{"JimZhang - Personal View",#N/A,FALSE,"800230"}</definedName>
    <definedName name="外销" hidden="1">{"JimZhang - Personal View",#N/A,FALSE,"800230"}</definedName>
    <definedName name="西安" hidden="1">#REF!</definedName>
    <definedName name="西安1" hidden="1">#REF!</definedName>
    <definedName name="西安2" hidden="1">#REF!</definedName>
    <definedName name="销量" hidden="1">#N/A</definedName>
    <definedName name="销售" localSheetId="0" hidden="1">{#N/A,#N/A,FALSE,"负债表"}</definedName>
    <definedName name="销售" hidden="1">{#N/A,#N/A,FALSE,"负债表"}</definedName>
    <definedName name="销售费用检查表" localSheetId="0" hidden="1">{#N/A,#N/A,FALSE,"负债表"}</definedName>
    <definedName name="销售费用检查表" hidden="1">{#N/A,#N/A,FALSE,"负债表"}</definedName>
    <definedName name="新版" localSheetId="0" hidden="1">{#N/A,#N/A,FALSE,"970301";#N/A,#N/A,FALSE,"970302";#N/A,#N/A,FALSE,"970303";#N/A,#N/A,FALSE,"970304";#N/A,#N/A,FALSE,"COM1";#N/A,#N/A,FALSE,"COM2"}</definedName>
    <definedName name="新版" hidden="1">{#N/A,#N/A,FALSE,"970301";#N/A,#N/A,FALSE,"970302";#N/A,#N/A,FALSE,"970303";#N/A,#N/A,FALSE,"970304";#N/A,#N/A,FALSE,"COM1";#N/A,#N/A,FALSE,"COM2"}</definedName>
    <definedName name="新版_1" localSheetId="0" hidden="1">{#N/A,#N/A,FALSE,"970301";#N/A,#N/A,FALSE,"970302";#N/A,#N/A,FALSE,"970303";#N/A,#N/A,FALSE,"970304";#N/A,#N/A,FALSE,"COM1";#N/A,#N/A,FALSE,"COM2"}</definedName>
    <definedName name="新版_1" hidden="1">{#N/A,#N/A,FALSE,"970301";#N/A,#N/A,FALSE,"970302";#N/A,#N/A,FALSE,"970303";#N/A,#N/A,FALSE,"970304";#N/A,#N/A,FALSE,"COM1";#N/A,#N/A,FALSE,"COM2"}</definedName>
    <definedName name="뭐야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炎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炎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要1" localSheetId="0" hidden="1">{#N/A,#N/A,FALSE,"BBPREP"}</definedName>
    <definedName name="要1" hidden="1">{#N/A,#N/A,FALSE,"BBPREP"}</definedName>
    <definedName name="应收帐款" localSheetId="0" hidden="1">{#N/A,#N/A,FALSE,"负债表"}</definedName>
    <definedName name="应收帐款" hidden="1">{#N/A,#N/A,FALSE,"负债表"}</definedName>
    <definedName name="应手款" localSheetId="0" hidden="1">{#N/A,#N/A,FALSE,"970301";#N/A,#N/A,FALSE,"970302";#N/A,#N/A,FALSE,"970303";#N/A,#N/A,FALSE,"970304";#N/A,#N/A,FALSE,"COM1";#N/A,#N/A,FALSE,"COM2"}</definedName>
    <definedName name="应手款" hidden="1">{#N/A,#N/A,FALSE,"970301";#N/A,#N/A,FALSE,"970302";#N/A,#N/A,FALSE,"970303";#N/A,#N/A,FALSE,"970304";#N/A,#N/A,FALSE,"COM1";#N/A,#N/A,FALSE,"COM2"}</definedName>
    <definedName name="应手款1月" localSheetId="0" hidden="1">{#N/A,#N/A,FALSE,"Marketing";#N/A,#N/A,FALSE,"Selling";#N/A,#N/A,FALSE,"Promotional";#N/A,#N/A,FALSE,"Advertising"}</definedName>
    <definedName name="应手款1月" hidden="1">{#N/A,#N/A,FALSE,"Marketing";#N/A,#N/A,FALSE,"Selling";#N/A,#N/A,FALSE,"Promotional";#N/A,#N/A,FALSE,"Advertising"}</definedName>
    <definedName name="미" localSheetId="0" hidden="1">{#N/A,#N/A,FALSE,"미판매분"}</definedName>
    <definedName name="미" hidden="1">{#N/A,#N/A,FALSE,"미판매분"}</definedName>
    <definedName name="미수종합" localSheetId="0" hidden="1">{#N/A,#N/A,FALSE,"미판매분"}</definedName>
    <definedName name="미수종합" hidden="1">{#N/A,#N/A,FALSE,"미판매분"}</definedName>
    <definedName name="原材料发生额" localSheetId="0" hidden="1">{"'四月'!$A$1:$L$12"}</definedName>
    <definedName name="原材料发生额" hidden="1">{"'四月'!$A$1:$L$12"}</definedName>
    <definedName name="漳州减租每月明细" hidden="1">#REF!</definedName>
    <definedName name="主管会计工作负责人" hidden="1">#REF!</definedName>
    <definedName name="수급추이" localSheetId="0" hidden="1">{"'7-2지역별'!$A$1:$R$44"}</definedName>
    <definedName name="수급추이" hidden="1">{"'7-2지역별'!$A$1:$R$44"}</definedName>
    <definedName name="수입3" localSheetId="0" hidden="1">{"'7-2지역별'!$A$1:$R$44"}</definedName>
    <definedName name="수입3" hidden="1">{"'7-2지역별'!$A$1:$R$44"}</definedName>
    <definedName name="수출순위" localSheetId="0" hidden="1">{"'7-2지역별'!$A$1:$R$44"}</definedName>
    <definedName name="수출순위" hidden="1">{"'7-2지역별'!$A$1:$R$44"}</definedName>
    <definedName name="영업권" localSheetId="0" hidden="1">{#N/A,#N/A,FALSE,"BS";#N/A,#N/A,FALSE,"PL";#N/A,#N/A,FALSE,"처분";#N/A,#N/A,FALSE,"현금";#N/A,#N/A,FALSE,"매출";#N/A,#N/A,FALSE,"원가";#N/A,#N/A,FALSE,"경영"}</definedName>
    <definedName name="영업권" hidden="1">{#N/A,#N/A,FALSE,"BS";#N/A,#N/A,FALSE,"PL";#N/A,#N/A,FALSE,"처분";#N/A,#N/A,FALSE,"현금";#N/A,#N/A,FALSE,"매출";#N/A,#N/A,FALSE,"원가";#N/A,#N/A,FALSE,"경영"}</definedName>
    <definedName name="원천납부8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유럽" localSheetId="0" hidden="1">{#N/A,#N/A,FALSE,"미판매분"}</definedName>
    <definedName name="유럽" hidden="1">{#N/A,#N/A,FALSE,"미판매분"}</definedName>
    <definedName name="유형자산1" localSheetId="0" hidden="1">{#NULL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유형자산1" hidden="1">{#NULL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율리1총괄표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율리1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이정환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정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2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6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가격2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가격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충명세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트로이젠" localSheetId="0" hidden="1">{#N/A,#N/A,FALSE,"미판매분"}</definedName>
    <definedName name="트로이젠" hidden="1">{#N/A,#N/A,FALSE,"미판매분"}</definedName>
    <definedName name="ㅎㅎ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ㅎㅎ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외생산1" localSheetId="0" hidden="1">{"'7-2지역별'!$A$1:$R$44"}</definedName>
    <definedName name="해외생산1" hidden="1">{"'7-2지역별'!$A$1:$R$44"}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<sst xmlns="http://schemas.openxmlformats.org/spreadsheetml/2006/main" count="444" uniqueCount="242">
  <si>
    <t>人民币万元</t>
  </si>
  <si>
    <r>
      <rPr>
        <b/>
        <sz val="10"/>
        <rFont val="宋体"/>
        <charset val="134"/>
      </rPr>
      <t>可比</t>
    </r>
    <r>
      <rPr>
        <b/>
        <sz val="10"/>
        <rFont val="Arial"/>
        <charset val="134"/>
      </rPr>
      <t>P/E - 25</t>
    </r>
    <r>
      <rPr>
        <b/>
        <sz val="10"/>
        <rFont val="宋体"/>
        <charset val="134"/>
      </rPr>
      <t>年0.8亿利润</t>
    </r>
  </si>
  <si>
    <r>
      <rPr>
        <b/>
        <sz val="10"/>
        <rFont val="宋体"/>
        <charset val="134"/>
      </rPr>
      <t>可比</t>
    </r>
    <r>
      <rPr>
        <b/>
        <sz val="10"/>
        <rFont val="Arial"/>
        <charset val="134"/>
      </rPr>
      <t>P/E - 26</t>
    </r>
    <r>
      <rPr>
        <b/>
        <sz val="10"/>
        <rFont val="宋体"/>
        <charset val="134"/>
      </rPr>
      <t>年1.0亿利润</t>
    </r>
  </si>
  <si>
    <t>DCF</t>
  </si>
  <si>
    <t>低端</t>
  </si>
  <si>
    <t>增量</t>
  </si>
  <si>
    <t>高端</t>
  </si>
  <si>
    <r>
      <rPr>
        <b/>
        <sz val="11"/>
        <color rgb="FF000000"/>
        <rFont val="华文楷体"/>
        <charset val="134"/>
      </rPr>
      <t>目标公司</t>
    </r>
  </si>
  <si>
    <r>
      <rPr>
        <sz val="11"/>
        <color rgb="FF000000"/>
        <rFont val="华文楷体"/>
        <charset val="134"/>
      </rPr>
      <t>锐洁机器人</t>
    </r>
  </si>
  <si>
    <r>
      <rPr>
        <b/>
        <sz val="11"/>
        <color rgb="FF000000"/>
        <rFont val="华文楷体"/>
        <charset val="134"/>
      </rPr>
      <t>估值时点</t>
    </r>
  </si>
  <si>
    <t>万元</t>
  </si>
  <si>
    <t>2024A</t>
  </si>
  <si>
    <t>2025A</t>
  </si>
  <si>
    <t>2026E</t>
  </si>
  <si>
    <t>2027E</t>
  </si>
  <si>
    <t>2028E</t>
  </si>
  <si>
    <t>2029E</t>
  </si>
  <si>
    <t>2030E</t>
  </si>
  <si>
    <t>CAGR</t>
  </si>
  <si>
    <r>
      <rPr>
        <sz val="11"/>
        <color rgb="FF000000"/>
        <rFont val="华文楷体"/>
        <charset val="134"/>
      </rPr>
      <t>营业收入</t>
    </r>
  </si>
  <si>
    <t>YoY</t>
  </si>
  <si>
    <r>
      <rPr>
        <sz val="11"/>
        <color rgb="FF000000"/>
        <rFont val="华文楷体"/>
        <charset val="134"/>
      </rPr>
      <t>营业成本</t>
    </r>
  </si>
  <si>
    <r>
      <rPr>
        <b/>
        <sz val="11"/>
        <color rgb="FF000000"/>
        <rFont val="华文楷体"/>
        <charset val="134"/>
      </rPr>
      <t>毛利</t>
    </r>
  </si>
  <si>
    <r>
      <rPr>
        <sz val="11"/>
        <color rgb="FF000000"/>
        <rFont val="华文楷体"/>
        <charset val="134"/>
      </rPr>
      <t>税金及附加</t>
    </r>
  </si>
  <si>
    <r>
      <rPr>
        <sz val="11"/>
        <color rgb="FF000000"/>
        <rFont val="华文楷体"/>
        <charset val="134"/>
      </rPr>
      <t>销售费用</t>
    </r>
  </si>
  <si>
    <r>
      <rPr>
        <sz val="11"/>
        <color rgb="FF000000"/>
        <rFont val="华文楷体"/>
        <charset val="134"/>
      </rPr>
      <t>管理费用</t>
    </r>
  </si>
  <si>
    <r>
      <rPr>
        <sz val="11"/>
        <color rgb="FF000000"/>
        <rFont val="华文楷体"/>
        <charset val="134"/>
      </rPr>
      <t>研发费用</t>
    </r>
  </si>
  <si>
    <r>
      <rPr>
        <sz val="11"/>
        <color rgb="FF000000"/>
        <rFont val="华文楷体"/>
        <charset val="134"/>
      </rPr>
      <t>其他</t>
    </r>
  </si>
  <si>
    <r>
      <rPr>
        <b/>
        <sz val="11"/>
        <color rgb="FF000000"/>
        <rFont val="华文楷体"/>
        <charset val="134"/>
      </rPr>
      <t>经营利润</t>
    </r>
  </si>
  <si>
    <r>
      <rPr>
        <sz val="11"/>
        <color rgb="FF000000"/>
        <rFont val="华文楷体"/>
        <charset val="134"/>
      </rPr>
      <t>所得税费用</t>
    </r>
  </si>
  <si>
    <r>
      <rPr>
        <b/>
        <sz val="11"/>
        <color rgb="FF000000"/>
        <rFont val="华文楷体"/>
        <charset val="134"/>
      </rPr>
      <t>净利润</t>
    </r>
  </si>
  <si>
    <r>
      <rPr>
        <b/>
        <sz val="11"/>
        <color rgb="FF000000"/>
        <rFont val="华文楷体"/>
        <charset val="134"/>
      </rPr>
      <t>减去：资本性支出</t>
    </r>
  </si>
  <si>
    <r>
      <rPr>
        <b/>
        <sz val="11"/>
        <color rgb="FF000000"/>
        <rFont val="华文楷体"/>
        <charset val="134"/>
      </rPr>
      <t>加回</t>
    </r>
    <r>
      <rPr>
        <b/>
        <sz val="11"/>
        <color rgb="FF000000"/>
        <rFont val="Arial"/>
        <charset val="134"/>
      </rPr>
      <t>:</t>
    </r>
    <r>
      <rPr>
        <b/>
        <sz val="11"/>
        <color rgb="FF000000"/>
        <rFont val="华文楷体"/>
        <charset val="134"/>
      </rPr>
      <t>折旧摊销</t>
    </r>
  </si>
  <si>
    <r>
      <rPr>
        <sz val="11"/>
        <color rgb="FF000000"/>
        <rFont val="华文楷体"/>
        <charset val="134"/>
      </rPr>
      <t>营运资本</t>
    </r>
  </si>
  <si>
    <r>
      <rPr>
        <sz val="11"/>
        <color theme="1"/>
        <rFont val="宋体"/>
        <charset val="134"/>
      </rPr>
      <t>行业</t>
    </r>
    <r>
      <rPr>
        <sz val="11"/>
        <color theme="1"/>
        <rFont val="Arial"/>
        <charset val="134"/>
      </rPr>
      <t>70%</t>
    </r>
  </si>
  <si>
    <r>
      <rPr>
        <b/>
        <sz val="11"/>
        <color rgb="FF000000"/>
        <rFont val="华文楷体"/>
        <charset val="134"/>
      </rPr>
      <t>减去：营运资本增加</t>
    </r>
  </si>
  <si>
    <r>
      <rPr>
        <sz val="11"/>
        <color rgb="FF000000"/>
        <rFont val="华文楷体"/>
        <charset val="134"/>
      </rPr>
      <t>自由现金流</t>
    </r>
  </si>
  <si>
    <r>
      <rPr>
        <sz val="11"/>
        <color rgb="FF000000"/>
        <rFont val="华文楷体"/>
        <charset val="134"/>
      </rPr>
      <t>折现</t>
    </r>
  </si>
  <si>
    <r>
      <rPr>
        <sz val="11"/>
        <color rgb="FF000000"/>
        <rFont val="华文楷体"/>
        <charset val="134"/>
      </rPr>
      <t>折线因子</t>
    </r>
  </si>
  <si>
    <r>
      <rPr>
        <sz val="11"/>
        <color rgb="FF000000"/>
        <rFont val="华文楷体"/>
        <charset val="134"/>
      </rPr>
      <t>自由现金流现值</t>
    </r>
  </si>
  <si>
    <r>
      <rPr>
        <b/>
        <sz val="11"/>
        <color theme="0"/>
        <rFont val="华文楷体"/>
        <charset val="134"/>
      </rPr>
      <t>企业价值分析</t>
    </r>
  </si>
  <si>
    <r>
      <rPr>
        <b/>
        <sz val="11"/>
        <rFont val="华文楷体"/>
        <charset val="134"/>
      </rPr>
      <t>折现率</t>
    </r>
  </si>
  <si>
    <r>
      <rPr>
        <sz val="11"/>
        <color rgb="FF3A3838"/>
        <rFont val="华文楷体"/>
        <charset val="134"/>
      </rPr>
      <t>预测期企业自由现金流现值</t>
    </r>
  </si>
  <si>
    <r>
      <rPr>
        <sz val="11"/>
        <color rgb="FF3A3838"/>
        <rFont val="华文楷体"/>
        <charset val="134"/>
      </rPr>
      <t>退出</t>
    </r>
    <r>
      <rPr>
        <sz val="11"/>
        <color rgb="FF3A3838"/>
        <rFont val="Arial"/>
        <charset val="134"/>
      </rPr>
      <t>P/E</t>
    </r>
    <r>
      <rPr>
        <sz val="11"/>
        <color rgb="FF3A3838"/>
        <rFont val="华文楷体"/>
        <charset val="134"/>
      </rPr>
      <t>倍数</t>
    </r>
  </si>
  <si>
    <r>
      <rPr>
        <sz val="11"/>
        <color rgb="FF3A3838"/>
        <rFont val="华文楷体"/>
        <charset val="134"/>
      </rPr>
      <t>终值现值</t>
    </r>
  </si>
  <si>
    <r>
      <rPr>
        <b/>
        <sz val="11"/>
        <color rgb="FF3A3838"/>
        <rFont val="华文楷体"/>
        <charset val="134"/>
      </rPr>
      <t>企业价值</t>
    </r>
    <r>
      <rPr>
        <b/>
        <sz val="11"/>
        <color rgb="FF3A3838"/>
        <rFont val="Arial"/>
        <charset val="134"/>
      </rPr>
      <t>_</t>
    </r>
    <r>
      <rPr>
        <b/>
        <sz val="11"/>
        <color rgb="FF3A3838"/>
        <rFont val="华文楷体"/>
        <charset val="134"/>
      </rPr>
      <t>调整前</t>
    </r>
  </si>
  <si>
    <r>
      <rPr>
        <sz val="11"/>
        <color rgb="FF3A3838"/>
        <rFont val="华文楷体"/>
        <charset val="134"/>
      </rPr>
      <t>净负债</t>
    </r>
  </si>
  <si>
    <r>
      <rPr>
        <b/>
        <sz val="11"/>
        <color rgb="FF3A3838"/>
        <rFont val="华文楷体"/>
        <charset val="134"/>
      </rPr>
      <t>股东权益价值</t>
    </r>
  </si>
  <si>
    <r>
      <rPr>
        <b/>
        <sz val="11"/>
        <color rgb="FF3A3838"/>
        <rFont val="华文楷体"/>
        <charset val="134"/>
      </rPr>
      <t>估值</t>
    </r>
  </si>
  <si>
    <r>
      <rPr>
        <b/>
        <sz val="11"/>
        <color rgb="FF000000"/>
        <rFont val="华文楷体"/>
        <charset val="134"/>
      </rPr>
      <t>敏感性分析</t>
    </r>
  </si>
  <si>
    <r>
      <rPr>
        <b/>
        <sz val="11"/>
        <color rgb="FF000000"/>
        <rFont val="华文楷体"/>
        <charset val="134"/>
      </rPr>
      <t>估值</t>
    </r>
  </si>
  <si>
    <r>
      <rPr>
        <b/>
        <sz val="11"/>
        <color rgb="FF000000"/>
        <rFont val="华文楷体"/>
        <charset val="134"/>
      </rPr>
      <t>收入复合增长</t>
    </r>
  </si>
  <si>
    <r>
      <rPr>
        <sz val="11"/>
        <color rgb="FF000000"/>
        <rFont val="华文楷体"/>
        <charset val="134"/>
      </rPr>
      <t>收入</t>
    </r>
  </si>
  <si>
    <r>
      <rPr>
        <sz val="11"/>
        <color rgb="FF000000"/>
        <rFont val="华文楷体"/>
        <charset val="134"/>
      </rPr>
      <t>预期净利润</t>
    </r>
  </si>
  <si>
    <t>P/E</t>
  </si>
  <si>
    <r>
      <rPr>
        <sz val="11"/>
        <color rgb="FF000000"/>
        <rFont val="华文楷体"/>
        <charset val="134"/>
      </rPr>
      <t>退出倍数</t>
    </r>
  </si>
  <si>
    <r>
      <rPr>
        <sz val="11"/>
        <color rgb="FF000000"/>
        <rFont val="华文楷体"/>
        <charset val="134"/>
      </rPr>
      <t>退出市值</t>
    </r>
  </si>
  <si>
    <r>
      <rPr>
        <sz val="11"/>
        <color rgb="FF000000"/>
        <rFont val="华文楷体"/>
        <charset val="134"/>
      </rPr>
      <t>本轮投资成本</t>
    </r>
  </si>
  <si>
    <r>
      <rPr>
        <sz val="11"/>
        <color rgb="FF000000"/>
        <rFont val="华文楷体"/>
        <charset val="134"/>
      </rPr>
      <t>本轮投后股比</t>
    </r>
  </si>
  <si>
    <r>
      <rPr>
        <sz val="11"/>
        <color rgb="FF000000"/>
        <rFont val="华文楷体"/>
        <charset val="134"/>
      </rPr>
      <t>预计后续融资稀释</t>
    </r>
  </si>
  <si>
    <r>
      <rPr>
        <sz val="11"/>
        <color rgb="FF000000"/>
        <rFont val="华文楷体"/>
        <charset val="134"/>
      </rPr>
      <t>预计上市持股比例</t>
    </r>
  </si>
  <si>
    <r>
      <rPr>
        <sz val="11"/>
        <color rgb="FF000000"/>
        <rFont val="华文楷体"/>
        <charset val="134"/>
      </rPr>
      <t>预计退出金额</t>
    </r>
  </si>
  <si>
    <r>
      <rPr>
        <sz val="11"/>
        <color rgb="FF000000"/>
        <rFont val="华文楷体"/>
        <charset val="134"/>
      </rPr>
      <t>预计</t>
    </r>
    <r>
      <rPr>
        <sz val="11"/>
        <color rgb="FF000000"/>
        <rFont val="Arial"/>
        <charset val="134"/>
      </rPr>
      <t>MOC</t>
    </r>
  </si>
  <si>
    <t>IRR</t>
  </si>
  <si>
    <t>MOC</t>
  </si>
  <si>
    <t>可比公司</t>
  </si>
  <si>
    <t>股票代码</t>
  </si>
  <si>
    <t>主要业务</t>
  </si>
  <si>
    <t>可比程度判定</t>
  </si>
  <si>
    <t>FY25营业收入</t>
  </si>
  <si>
    <t>FY25毛利率</t>
  </si>
  <si>
    <t>FY25销售费用率</t>
  </si>
  <si>
    <t>FY25管理费用率</t>
  </si>
  <si>
    <t>FY25研发费用率</t>
  </si>
  <si>
    <t>DSO</t>
  </si>
  <si>
    <t>DPO</t>
  </si>
  <si>
    <t>DIO</t>
  </si>
  <si>
    <t>P/S</t>
  </si>
  <si>
    <t>PSG</t>
  </si>
  <si>
    <t>是否选入倍数POOL</t>
  </si>
  <si>
    <t>富创精密</t>
  </si>
  <si>
    <t>半导体设备的精密零部件制造。</t>
  </si>
  <si>
    <t>强</t>
  </si>
  <si>
    <t>Y</t>
  </si>
  <si>
    <t>先锋精科</t>
  </si>
  <si>
    <t>半导体刻蚀和薄膜沉积设备细分领域关键零部件的精密制造。</t>
  </si>
  <si>
    <t>中</t>
  </si>
  <si>
    <t>神工股份</t>
  </si>
  <si>
    <t>集成电路刻蚀用单晶硅材料的研发、生产和销售。</t>
  </si>
  <si>
    <t>凯德石英</t>
  </si>
  <si>
    <t>石英仪器、石英管道、石英舟等石英玻璃制品的生产、研发和销售</t>
  </si>
  <si>
    <t>弱</t>
  </si>
  <si>
    <t>江丰电子</t>
  </si>
  <si>
    <t>高纯溅射靶材的研发、生产和销售业务</t>
  </si>
  <si>
    <t>英杰电气</t>
  </si>
  <si>
    <t>以功率控制电源、特种电源为代表的工业电源设备的研发、生产、销售</t>
  </si>
  <si>
    <t>机器人</t>
  </si>
  <si>
    <t>零部件、机器人、特种机器人及工业4.0</t>
  </si>
  <si>
    <t>新莱应材</t>
  </si>
  <si>
    <t>以高纯不锈钢为母材之高洁净应用材料研发、生产与销售</t>
  </si>
  <si>
    <t>创业板估值</t>
  </si>
  <si>
    <t>最小值</t>
  </si>
  <si>
    <t>最大值</t>
  </si>
  <si>
    <t>中位数</t>
  </si>
  <si>
    <t>估值方法</t>
  </si>
  <si>
    <t>货币单位：人民币万元</t>
  </si>
  <si>
    <t>市场倍数</t>
  </si>
  <si>
    <t>&lt;&lt;选取可比程度为中和高的可比公司</t>
  </si>
  <si>
    <t>营业收入</t>
  </si>
  <si>
    <t>营业利润</t>
  </si>
  <si>
    <r>
      <rPr>
        <b/>
        <sz val="11"/>
        <color rgb="FF3A3838"/>
        <rFont val="Arial"/>
        <charset val="134"/>
      </rPr>
      <t>100%</t>
    </r>
    <r>
      <rPr>
        <b/>
        <sz val="11"/>
        <color rgb="FF3A3838"/>
        <rFont val="楷体"/>
        <charset val="134"/>
      </rPr>
      <t>股东权益价值（具有控制权且流通基础）</t>
    </r>
  </si>
  <si>
    <t>缺乏流动性折扣</t>
  </si>
  <si>
    <r>
      <rPr>
        <b/>
        <sz val="11"/>
        <color rgb="FF3A3838"/>
        <rFont val="Arial"/>
        <charset val="134"/>
      </rPr>
      <t>100%</t>
    </r>
    <r>
      <rPr>
        <b/>
        <sz val="11"/>
        <color rgb="FF3A3838"/>
        <rFont val="楷体"/>
        <charset val="134"/>
      </rPr>
      <t>股东权益价值（具有控制权且非流通基础）</t>
    </r>
  </si>
  <si>
    <r>
      <rPr>
        <sz val="11"/>
        <color theme="1"/>
        <rFont val="微软雅黑"/>
        <charset val="134"/>
      </rPr>
      <t>数据源：2020.9-2026.3</t>
    </r>
    <r>
      <rPr>
        <b/>
        <sz val="11"/>
        <color theme="1"/>
        <rFont val="微软雅黑"/>
        <charset val="134"/>
      </rPr>
      <t xml:space="preserve"> PE倍数</t>
    </r>
  </si>
  <si>
    <t>-1倍标准差</t>
  </si>
  <si>
    <t>+1倍标准差</t>
  </si>
  <si>
    <t>最新</t>
  </si>
  <si>
    <r>
      <rPr>
        <sz val="11"/>
        <color theme="1"/>
        <rFont val="微软雅黑"/>
        <charset val="134"/>
      </rPr>
      <t xml:space="preserve">数据源：2020.9-2026.3 </t>
    </r>
    <r>
      <rPr>
        <b/>
        <sz val="11"/>
        <color theme="1"/>
        <rFont val="微软雅黑"/>
        <charset val="134"/>
      </rPr>
      <t>PS倍数</t>
    </r>
  </si>
  <si>
    <t>二级市场</t>
  </si>
  <si>
    <t>类型</t>
  </si>
  <si>
    <t>公司名称</t>
  </si>
  <si>
    <t>交易所</t>
  </si>
  <si>
    <t>最新市值（亿元）</t>
  </si>
  <si>
    <t>2024年收入（万元）</t>
  </si>
  <si>
    <t>2024年净利润</t>
  </si>
  <si>
    <t>2025上半年/三季报收入</t>
  </si>
  <si>
    <t>2025上半年/三季报净利润</t>
  </si>
  <si>
    <t>25年预计收入</t>
  </si>
  <si>
    <t>25年收入VS 24年收入</t>
  </si>
  <si>
    <t>P/S倍数（最新）</t>
  </si>
  <si>
    <t>P/S倍数（中位数）</t>
  </si>
  <si>
    <t>P/S倍数（标准差）</t>
  </si>
  <si>
    <t>P/E倍数（最新）</t>
  </si>
  <si>
    <t>P/E倍数（中位数）</t>
  </si>
  <si>
    <t>P/E倍数（标准差）</t>
  </si>
  <si>
    <t>主要业务概述</t>
  </si>
  <si>
    <t>二级市场可比公司</t>
  </si>
  <si>
    <t>上交所</t>
  </si>
  <si>
    <t>北交所</t>
  </si>
  <si>
    <t>深交所</t>
  </si>
  <si>
    <t>中位数（PS)</t>
  </si>
  <si>
    <t>中位数（PE)</t>
  </si>
  <si>
    <t>标准差</t>
  </si>
  <si>
    <t>平均数</t>
  </si>
  <si>
    <t>PS</t>
  </si>
  <si>
    <t>业务类型</t>
  </si>
  <si>
    <t>2025年预期收入（亿元）</t>
  </si>
  <si>
    <t>PS估值</t>
  </si>
  <si>
    <t>PE</t>
  </si>
  <si>
    <t>2025年预期净利润（亿元）</t>
  </si>
  <si>
    <t>PE估值</t>
  </si>
  <si>
    <t>备注
(参考二级市场 PE倍数*流动性折扣)</t>
  </si>
  <si>
    <t>下限（亿元）</t>
  </si>
  <si>
    <t>上限（亿元）</t>
  </si>
  <si>
    <t>模块制造+系统制造</t>
  </si>
  <si>
    <t>下限：14倍PS
上限：46倍PS</t>
  </si>
  <si>
    <t>其他</t>
  </si>
  <si>
    <t>合计</t>
  </si>
  <si>
    <t>PSG估值</t>
  </si>
  <si>
    <t>备注
(参考二级市场 PSG倍数)</t>
  </si>
  <si>
    <t>下限：倍PS
上限：倍PS</t>
  </si>
  <si>
    <t>2025三季报</t>
  </si>
  <si>
    <t>行业中位数</t>
  </si>
  <si>
    <t xml:space="preserve">          销售费用</t>
  </si>
  <si>
    <t xml:space="preserve">          管理费用</t>
  </si>
  <si>
    <t xml:space="preserve">          研发费用</t>
  </si>
  <si>
    <t>半年报%因收入波动因此偏高，暂不纳入进统计</t>
  </si>
  <si>
    <t>销售费用</t>
  </si>
  <si>
    <t>2024 年报</t>
  </si>
  <si>
    <t>2023 年报</t>
  </si>
  <si>
    <t>2022 年报</t>
  </si>
  <si>
    <t>2021 年报</t>
  </si>
  <si>
    <t>2020 年报</t>
  </si>
  <si>
    <t>2019 年报</t>
  </si>
  <si>
    <t>管理费用</t>
  </si>
  <si>
    <t>研发费用</t>
  </si>
  <si>
    <t>SHSE:688409</t>
  </si>
  <si>
    <t>SHSE:688605</t>
  </si>
  <si>
    <t>SHSE:688233</t>
  </si>
  <si>
    <t>北交所：835179</t>
  </si>
  <si>
    <t>SZSE:300666</t>
  </si>
  <si>
    <t>SZSE:300820</t>
  </si>
  <si>
    <t>SZSE:300024</t>
  </si>
  <si>
    <t>SZSE:300260</t>
  </si>
  <si>
    <t>人民币千元</t>
  </si>
  <si>
    <t>2025.1-9</t>
  </si>
  <si>
    <t>毛利</t>
  </si>
  <si>
    <t>毛利率</t>
  </si>
  <si>
    <t>主营业务介绍</t>
  </si>
  <si>
    <t>成立于 2008 年，总部位于辽宁沈阳。专注于半导体设备精密零部件的研发、生产与销售，是国内半导体设备精密零部件领军企业，产品广泛服务于国内外半导体设备龙头厂商。公司提供全系列精密零部件产品，包括反应腔体、内衬、加热器、匀气盘等工艺零部件，腔体盖板、法兰、信号箱等结构零部件，气柜、气体管路、阀门等气体传输系统，以及腔体模组、阀体模组等模组产品。同时提供配套特种工艺与表面处理技术，包括含氟涂层、致密 YO 涂层、N 系列 / O 系列膜层等关键制程解决方案。此外，公司还提供集成化制造服务，涵盖从精密加工、焊接到表面处理的一站式交付，以及面向 7nm 及以下先进制程的定制化工艺组件与整体解决方案。它服务于刻蚀、沉积、光刻、清洗等半导体设备厂商，覆盖集成电路制造、泛半导体及先进工艺领域，客户包括中微公司、北方华创、东京电子（TEL）、应用材料（AMAT）等全球龙头。</t>
  </si>
  <si>
    <t>成立于 2011 年，总部位于江苏靖江。是国内半导体刻蚀与薄膜沉积设备关键精密零部件的核心供应商，专注于先进制程高精密金属部件制造，在国产设备供应链中占据重要地位。公司提供全系列关键工艺部件，包括腔体、内衬、加热器、匀气盘等刻蚀设备核心反应区部件，以及喷嘴、气体分配环、接地环、射频连接板等精密工艺组件，同时提供法兰板、盖板、信号箱等结构部件。它还提供定制化精密加工与焊接服务，针对复杂结构部件实现高精度成型与密封集成，以及联合研发与协同测试服务，深度参与客户设备从设计验证到量产交付的全流程。此外，公司提供多材质适配的高精密部件解决方案，覆盖不锈钢、镍基合金、钛合金等多种材料，满足不同工艺环境的严苛需求。它服务于国内主流半导体设备厂商与晶圆制造企业，覆盖刻蚀、PVD/CVD 沉积等核心设备领域，客户包括中微公司、北方华创、拓荆科技、华海清科、屹唐股份等，同时逐步拓展航空航天、医疗设备等高端制造领域。</t>
  </si>
  <si>
    <t>成立于 2013 年，总部位于辽宁锦州。专注于半导体级单晶硅材料及硅零部件的研发、生产与销售，是全球刻蚀用大直径硅材料龙头，已转型为 “材料 + 零部件” 一体化平台型企业。公司提供全系列大直径硅材料产品，覆盖 14–22 英寸刻蚀用单晶硅，其中 22 英寸产品全球市占率超 80%，纯度达 11 个 9，满足 7nm 及以下先进制程需求。同时提供硅电极、硅环、硅罩等刻蚀设备核心硅零部件，具备 “耗材” 属性，与晶圆厂开工率强相关。此外，公司提供半导体大尺寸硅片产品，包括 8 英寸轻掺低缺陷硅片，正加速推进国内主流芯片制造厂认证，以及从晶体生长到硅电极加工的全链条制造服务，实现材料与部件协同优化。它服务于集成电路制造、刻蚀设备及存储芯片领域，客户包括长江存储、长鑫存储、中芯国际、北方华创等国内龙头厂商。</t>
  </si>
  <si>
    <t>成立于 1997 年，总部位于北京通州。专注于半导体与光伏用石英玻璃制品的研发、生产与销售，是国内半导体石英制品龙头，也是内资企业中首家通过中芯国际 12 英寸产线认证的厂商。公司提供全系列半导体石英制品，包括石英舟、石英钟罩、石英内管、石英保温筒、石英环、石英管道等，覆盖扩散、氧化、刻蚀、清洗等全工艺环节。同时提供光伏石英制品，包括太阳能用石英舟、石英塔、挡板等，以及定制化石英玻璃制品与精密加工服务，满足不同产线规格需求。此外，公司提供高纯石英管与石英砂原料配套服务，支撑高端石英制品制造，还参与制定《半导体硅片清洗用石英槽》《集成电路刻蚀设备用石英环》等行业团体标准。它服务于半导体芯片制造、光伏太阳能及泛半导体领域，客户包括中芯国际、北方华创、捷佳伟创、长江存储等，产品远销德国、美国、中国台湾等地区。</t>
  </si>
  <si>
    <t>成立于 2005 年，总部位于浙江宁波。专注于超高纯金属溅射靶材与半导体精密零部件的研发、生产与销售，是全球超高纯金属靶材龙头，构建 “靶材 + 零部件” 双轮驱动战略格局。公司提供全系列超高纯金属溅射靶材，包括铝、钛、钽、铜、钨及合金靶材，覆盖 90–3nm 全制程，是 PVD 工艺核心耗材。同时提供半导体精密零部件，包括硅电极、匀气盘、加热器、静电吸盘等刻蚀与沉积设备核心部件，以及平板显示靶材与太阳能电池制造用靶材。此外，公司提供配套材料与组件解决方案，包括 CMP 材料、超高纯金属原材料，以及联合研发与供应链协同服务，通过收购凯德石英强化石英部件与半导体材料协同优势。它服务于半导体制造、平板显示、太阳能电池及仪器制造领域，客户包括台积电、中芯国际、SK 海力士、京东方、英特尔等全球龙头。</t>
  </si>
  <si>
    <t>成立于 1996 年，总部位于四川德阳。专注于工业电源设备的研发、生产与销售，是国内综合性工业电源领军企业，同时布局新能源充电桩与特种电源领域。公司提供全系列功率控制电源，包括多晶硅还原炉电源、单晶炉电源、蓝宝石炉电源、碳化硅炉电源、功率控制器等，覆盖光伏、半导体、核电等新兴行业生产设备需求。同时提供特种电源，包括射频电源（适配刻蚀、PECVD 等半导体工艺）、测试电源、匹配器，以及新能源汽车充电桩 / 站、制氢电源等产品。此外，公司提供集成化电源系统解决方案，包括可编程直流电源、电力调整器、周波控制器，以及定制化电源设计与运维服务，多项产品通过欧盟 CE 认证。它服务于光伏、半导体、核电、环保、新能源汽车、石油化工、冶金等多领域，客户包括通威、协鑫、中微、北方华创、比亚迪、小鹏等龙头企业。</t>
  </si>
  <si>
    <t>成立于 2000 年，总部位于辽宁沈阳。是国内机器人产业领军企业，专注于工业机器人、移动机器人、特种机器人及智能制造系统集成，产品出口全球 40 多个国家和地区。公司提供全系列工业机器人，包括六轴机器人（焊接、切割、搬运、装配、喷涂、码垛）、并联机器人、SCARA 机器人等，适配多场景自动化生产。同时提供移动机器人，包括 AGV/AMR（装配、搬运、清洁、仓储物流），以及特种机器人，包括核电、洁净、防爆、巡检、医疗服务机器人等。此外，公司提供智能制造系统解决方案，包括自动化产线、智能仓储、数字化工厂整体方案，以及焊接接缝步进器、拣选器等专用设备，前瞻布局具身智能机器人全矩阵产品研发。它服务于汽车制造、3C 电子、光伏、锂电、物流、核电、医药、航空航天等国民经济重点领域，客户包括《财富》世界 500 强中 45% 的制造业企业，累计为 4000 余家企业提供服务。</t>
  </si>
  <si>
    <r>
      <rPr>
        <sz val="10"/>
        <color theme="1"/>
        <rFont val="华文楷体"/>
        <charset val="134"/>
      </rPr>
      <t>成立于 2000 年，总部位于江苏昆山。是国内高洁净 / 超高纯应用材料领域领先企业，产品覆盖半导体、生物医药、食品安全三大核心领域，是国内唯一量产半导体级真空阀门 / 管路系统的企业。公司提供泛半导体领域高洁净 / 超高纯产品，包括 AdvanTorr 系列真空腔体、法兰、传输阀、气柜，NanoPure 系列超高纯气体管路、阀门，泄漏率低至 10</t>
    </r>
    <r>
      <rPr>
        <sz val="10"/>
        <color theme="1"/>
        <rFont val="Times New Roman"/>
        <charset val="134"/>
      </rPr>
      <t>⁻⁹</t>
    </r>
    <r>
      <rPr>
        <sz val="10"/>
        <color theme="1"/>
        <rFont val="华文楷体"/>
        <charset val="134"/>
      </rPr>
      <t>Pa</t>
    </r>
    <r>
      <rPr>
        <sz val="10"/>
        <color theme="1"/>
        <rFont val="MS Gothic"/>
        <charset val="128"/>
      </rPr>
      <t>・</t>
    </r>
    <r>
      <rPr>
        <sz val="10"/>
        <color theme="1"/>
        <rFont val="华文楷体"/>
        <charset val="134"/>
      </rPr>
      <t>m³/s，满足 7nm 及以下先进制程需求。同时提供生物医药领域无菌流体系统，包括 ASME BPE 认证的无菌阀门、管道、泵，以及食品饮料领域无菌包装材料与卫生级泵阀、管道，满足 “零污染” 生产要求。此外，公司提供液冷解决方案，包括 CDU 冷液分配单元、快接头等核心组件，已进入英伟达 GB200 供应链验证，以及定制化洁净系统集成服务，覆盖从方案设计到安装运维的全流程。它服务于半导体制造、生物制药、液态食品加工、液冷数据中心等领域，客户包括中芯国际、长江存储、北方华创、辉瑞、药明生物、伊利、蒙牛、英特尔等全球龙头。</t>
    </r>
  </si>
  <si>
    <t>最近 12 个月营收（TTM）亿元</t>
  </si>
  <si>
    <t>毛利率（%）</t>
  </si>
  <si>
    <t>净利率</t>
  </si>
  <si>
    <t>应收账款期末余额(万元)</t>
  </si>
  <si>
    <t>预收账款期末余额（万元）</t>
  </si>
  <si>
    <t>净应收（万元）</t>
  </si>
  <si>
    <t>应付账款余额（万元）</t>
  </si>
  <si>
    <t>预付账款余额（万元）</t>
  </si>
  <si>
    <t>净应付（万元）</t>
  </si>
  <si>
    <t>期初存货余额</t>
  </si>
  <si>
    <t>期末存货余额</t>
  </si>
  <si>
    <t>平均存货（期初存货余额+期末存货余额)/2</t>
  </si>
  <si>
    <t>存货周转天数（同花顺数字）</t>
  </si>
  <si>
    <t>评阅期间</t>
  </si>
  <si>
    <t>预测期</t>
  </si>
  <si>
    <t>合并利润表</t>
  </si>
  <si>
    <t>2024年</t>
  </si>
  <si>
    <t>2025年</t>
  </si>
  <si>
    <t>2026年E</t>
  </si>
  <si>
    <t>Y0Y%</t>
  </si>
  <si>
    <r>
      <rPr>
        <b/>
        <sz val="8"/>
        <color theme="3"/>
        <rFont val="Arial Narrow"/>
        <charset val="134"/>
      </rPr>
      <t>2024</t>
    </r>
    <r>
      <rPr>
        <b/>
        <sz val="8"/>
        <color theme="3"/>
        <rFont val="华文楷体"/>
        <charset val="134"/>
      </rPr>
      <t>年</t>
    </r>
  </si>
  <si>
    <r>
      <rPr>
        <b/>
        <sz val="8"/>
        <color theme="3"/>
        <rFont val="Arial Narrow"/>
        <charset val="134"/>
      </rPr>
      <t>2025</t>
    </r>
    <r>
      <rPr>
        <b/>
        <sz val="8"/>
        <color theme="3"/>
        <rFont val="华文楷体"/>
        <charset val="134"/>
      </rPr>
      <t>年</t>
    </r>
  </si>
  <si>
    <t>评阅期间合计</t>
  </si>
  <si>
    <t>Robot</t>
  </si>
  <si>
    <t>营业成本</t>
  </si>
  <si>
    <t>aligner</t>
  </si>
  <si>
    <t>EFEM</t>
  </si>
  <si>
    <t>税金及附加</t>
  </si>
  <si>
    <t>载台</t>
  </si>
  <si>
    <t>YOY%</t>
  </si>
  <si>
    <t>财务费用</t>
  </si>
  <si>
    <t>信用减值损失</t>
  </si>
  <si>
    <t>其他收益</t>
  </si>
  <si>
    <t>营业利润/（亏损）</t>
  </si>
  <si>
    <t>营业外收入</t>
  </si>
  <si>
    <t>营业外支出</t>
  </si>
  <si>
    <t>（利润）/亏损</t>
  </si>
  <si>
    <t>运营费用</t>
  </si>
  <si>
    <t>所得税费用</t>
  </si>
  <si>
    <t>净利润/（亏损）</t>
  </si>
  <si>
    <t>KPI</t>
  </si>
  <si>
    <t>销售费用率</t>
  </si>
  <si>
    <t>净利润</t>
  </si>
  <si>
    <t>管理费用率</t>
  </si>
  <si>
    <t>研发费用率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</si>
</sst>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(* #,##0.00_);_(* \(#,##0.00\);_(* &quot;-&quot;??_);_(@_)"/>
    <numFmt numFmtId="178" formatCode="_(* #,##0_);_(* \(#,##0\);_(* &quot;-&quot;??_);_(@_)"/>
    <numFmt numFmtId="179" formatCode="#,##0_);\(#,##0\)"/>
    <numFmt numFmtId="180" formatCode="0%_);\(0%\)"/>
    <numFmt numFmtId="181" formatCode="_ * #,##0_ ;_ * \-#,##0_ ;_ * &quot;-&quot;??_ ;_ @_ "/>
    <numFmt numFmtId="182" formatCode="0.00_ "/>
    <numFmt numFmtId="183" formatCode="0.0%"/>
    <numFmt numFmtId="184" formatCode="#,##0.00_ "/>
    <numFmt numFmtId="185" formatCode="_ * #,##0.0_ ;_ * \-#,##0.0_ ;_ * &quot;-&quot;??_ ;_ @_ "/>
    <numFmt numFmtId="186" formatCode="_ * #,##0.0_ ;_ * \-#,##0.0_ ;_ * &quot;-&quot;??.0_ ;_ @_ "/>
    <numFmt numFmtId="187" formatCode="0.0"/>
    <numFmt numFmtId="188" formatCode="#,##0_);\(#,##0\);\-_);@"/>
    <numFmt numFmtId="189" formatCode="#,##0.0%_);\(#,##0.0\)%\ ;\-_);@"/>
    <numFmt numFmtId="190" formatCode="#,##0_ "/>
    <numFmt numFmtId="191" formatCode="#,##0.0%_);\(#,##0.0\)%;\-_);@"/>
    <numFmt numFmtId="192" formatCode="#,##0&quot;x&quot;_);\(#,##0\);\-_);@"/>
    <numFmt numFmtId="193" formatCode="0\x"/>
    <numFmt numFmtId="194" formatCode="0.0&quot;x&quot;"/>
    <numFmt numFmtId="195" formatCode="_(* #,##0_);_(* \(#,##0\);_(* &quot;-&quot;_);@_)"/>
  </numFmts>
  <fonts count="90">
    <font>
      <sz val="11"/>
      <color theme="1"/>
      <name val="宋体"/>
      <charset val="134"/>
      <scheme val="minor"/>
    </font>
    <font>
      <sz val="8"/>
      <color theme="1"/>
      <name val="Arial Narrow"/>
      <charset val="134"/>
    </font>
    <font>
      <b/>
      <sz val="8"/>
      <color theme="4"/>
      <name val="华文楷体"/>
      <charset val="134"/>
    </font>
    <font>
      <b/>
      <sz val="8"/>
      <color theme="4"/>
      <name val="Arial Narrow"/>
      <charset val="134"/>
    </font>
    <font>
      <b/>
      <sz val="12"/>
      <color theme="3"/>
      <name val="STKaiti"/>
      <charset val="134"/>
    </font>
    <font>
      <sz val="9"/>
      <color theme="1"/>
      <name val="Arial Narrow"/>
      <charset val="134"/>
    </font>
    <font>
      <b/>
      <sz val="8"/>
      <color theme="4"/>
      <name val="宋体"/>
      <charset val="134"/>
    </font>
    <font>
      <b/>
      <sz val="8"/>
      <color theme="3"/>
      <name val="Stkaiti"/>
      <charset val="134"/>
    </font>
    <font>
      <b/>
      <sz val="8"/>
      <color theme="3"/>
      <name val="Arial Narrow"/>
      <charset val="134"/>
    </font>
    <font>
      <b/>
      <sz val="8"/>
      <color theme="3"/>
      <name val="华文楷体"/>
      <charset val="134"/>
    </font>
    <font>
      <b/>
      <sz val="8"/>
      <color theme="1"/>
      <name val="Arial Narrow"/>
      <charset val="134"/>
    </font>
    <font>
      <sz val="8"/>
      <color theme="1"/>
      <name val="STKaiti"/>
      <charset val="134"/>
    </font>
    <font>
      <b/>
      <sz val="8"/>
      <color theme="1"/>
      <name val="STKaiti"/>
      <charset val="134"/>
    </font>
    <font>
      <i/>
      <sz val="8"/>
      <color theme="3"/>
      <name val="Arial Narrow"/>
      <charset val="134"/>
    </font>
    <font>
      <sz val="8"/>
      <color theme="1"/>
      <name val="宋体"/>
      <charset val="134"/>
      <scheme val="major"/>
    </font>
    <font>
      <b/>
      <i/>
      <sz val="8"/>
      <color theme="3"/>
      <name val="Arial Narrow"/>
      <charset val="134"/>
    </font>
    <font>
      <i/>
      <sz val="8"/>
      <color theme="1"/>
      <name val="STKaiti"/>
      <charset val="134"/>
    </font>
    <font>
      <i/>
      <sz val="8"/>
      <color theme="1"/>
      <name val="Arial Narrow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0"/>
      <color theme="1"/>
      <name val="华文楷体"/>
      <charset val="134"/>
    </font>
    <font>
      <b/>
      <sz val="10"/>
      <color theme="1"/>
      <name val="Arial Narrow"/>
      <charset val="134"/>
    </font>
    <font>
      <b/>
      <sz val="10"/>
      <color theme="3"/>
      <name val="华文楷体"/>
      <charset val="134"/>
    </font>
    <font>
      <b/>
      <sz val="10"/>
      <color theme="3"/>
      <name val="Arial Narrow"/>
      <charset val="134"/>
    </font>
    <font>
      <sz val="10"/>
      <color theme="1"/>
      <name val="华文楷体"/>
      <charset val="134"/>
    </font>
    <font>
      <sz val="10"/>
      <color theme="1"/>
      <name val="Arial Narrow"/>
      <charset val="134"/>
    </font>
    <font>
      <b/>
      <sz val="11"/>
      <color theme="1"/>
      <name val="微软雅黑"/>
      <charset val="134"/>
    </font>
    <font>
      <sz val="10"/>
      <color theme="1"/>
      <name val="Arial (body)"/>
      <charset val="134"/>
    </font>
    <font>
      <b/>
      <sz val="9"/>
      <color theme="1"/>
      <name val="微软雅黑"/>
      <charset val="134"/>
    </font>
    <font>
      <sz val="11"/>
      <color rgb="FFFF0000"/>
      <name val="微软雅黑"/>
      <charset val="134"/>
    </font>
    <font>
      <sz val="9"/>
      <color theme="1"/>
      <name val="微软雅黑"/>
      <charset val="134"/>
    </font>
    <font>
      <b/>
      <sz val="11"/>
      <color theme="0"/>
      <name val="微软雅黑"/>
      <charset val="134"/>
    </font>
    <font>
      <sz val="16"/>
      <color theme="1"/>
      <name val="微软雅黑"/>
      <charset val="134"/>
    </font>
    <font>
      <sz val="18"/>
      <name val="微软雅黑"/>
      <charset val="134"/>
    </font>
    <font>
      <sz val="11"/>
      <color rgb="FF000000"/>
      <name val="宋体"/>
      <charset val="134"/>
      <scheme val="minor"/>
    </font>
    <font>
      <b/>
      <sz val="11"/>
      <color theme="0"/>
      <name val="KaiTi"/>
      <charset val="134"/>
    </font>
    <font>
      <b/>
      <sz val="11"/>
      <color theme="0"/>
      <name val="宋体"/>
      <charset val="134"/>
      <scheme val="minor"/>
    </font>
    <font>
      <b/>
      <sz val="11"/>
      <color rgb="FF000000"/>
      <name val="KaiTi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KaiTi"/>
      <charset val="134"/>
    </font>
    <font>
      <b/>
      <sz val="11"/>
      <color rgb="FF3A3838"/>
      <name val="Arial"/>
      <charset val="134"/>
    </font>
    <font>
      <sz val="11"/>
      <color rgb="FF3A3838"/>
      <name val="楷体"/>
      <charset val="134"/>
    </font>
    <font>
      <i/>
      <sz val="11"/>
      <color theme="5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b/>
      <sz val="11"/>
      <color theme="0"/>
      <name val="华文楷体"/>
      <charset val="134"/>
    </font>
    <font>
      <b/>
      <sz val="11"/>
      <color theme="0"/>
      <name val="Arial"/>
      <charset val="134"/>
    </font>
    <font>
      <i/>
      <sz val="11"/>
      <color rgb="FF5E8AB4"/>
      <name val="Arial"/>
      <charset val="134"/>
    </font>
    <font>
      <sz val="11"/>
      <color rgb="FF0200FF"/>
      <name val="Arial"/>
      <charset val="134"/>
    </font>
    <font>
      <b/>
      <sz val="11"/>
      <name val="Arial"/>
      <charset val="134"/>
    </font>
    <font>
      <b/>
      <i/>
      <sz val="11"/>
      <color rgb="FF0000FF"/>
      <name val="Arial"/>
      <charset val="134"/>
    </font>
    <font>
      <sz val="11"/>
      <color rgb="FF3A3838"/>
      <name val="Arial"/>
      <charset val="134"/>
    </font>
    <font>
      <sz val="11"/>
      <name val="Arial"/>
      <charset val="134"/>
    </font>
    <font>
      <sz val="11"/>
      <color rgb="FF0000FF"/>
      <name val="Arial"/>
      <charset val="134"/>
    </font>
    <font>
      <sz val="11"/>
      <color theme="0"/>
      <name val="Arial"/>
      <charset val="134"/>
    </font>
    <font>
      <sz val="10"/>
      <name val="Arial"/>
      <charset val="134"/>
    </font>
    <font>
      <sz val="10"/>
      <name val="KaiTi"/>
      <charset val="134"/>
    </font>
    <font>
      <b/>
      <sz val="10"/>
      <name val="KaiTi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name val="华文楷体"/>
      <charset val="134"/>
    </font>
    <font>
      <b/>
      <sz val="11"/>
      <color rgb="FF000000"/>
      <name val="华文楷体"/>
      <charset val="134"/>
    </font>
    <font>
      <sz val="11"/>
      <color rgb="FF000000"/>
      <name val="华文楷体"/>
      <charset val="134"/>
    </font>
    <font>
      <sz val="11"/>
      <color rgb="FF3A3838"/>
      <name val="华文楷体"/>
      <charset val="134"/>
    </font>
    <font>
      <b/>
      <sz val="10"/>
      <name val="Arial"/>
      <charset val="134"/>
    </font>
    <font>
      <b/>
      <sz val="11"/>
      <color rgb="FF3A3838"/>
      <name val="华文楷体"/>
      <charset val="134"/>
    </font>
    <font>
      <b/>
      <sz val="11"/>
      <color rgb="FF3A3838"/>
      <name val="楷体"/>
      <charset val="134"/>
    </font>
    <font>
      <sz val="10"/>
      <color theme="1"/>
      <name val="Times New Roman"/>
      <charset val="134"/>
    </font>
    <font>
      <sz val="10"/>
      <color theme="1"/>
      <name val="MS Gothic"/>
      <charset val="128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B49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ck">
        <color theme="0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/>
      <bottom style="medium">
        <color theme="4"/>
      </bottom>
      <diagonal/>
    </border>
    <border>
      <left style="thick">
        <color theme="0"/>
      </left>
      <right/>
      <top/>
      <bottom style="medium">
        <color theme="4"/>
      </bottom>
      <diagonal/>
    </border>
    <border>
      <left style="thick">
        <color theme="0"/>
      </left>
      <right/>
      <top style="medium">
        <color theme="4"/>
      </top>
      <bottom/>
      <diagonal/>
    </border>
    <border>
      <left/>
      <right/>
      <top style="medium">
        <color theme="3"/>
      </top>
      <bottom/>
      <diagonal/>
    </border>
    <border>
      <left style="dashed">
        <color theme="3"/>
      </left>
      <right/>
      <top style="dashed">
        <color theme="3"/>
      </top>
      <bottom/>
      <diagonal/>
    </border>
    <border>
      <left/>
      <right/>
      <top style="dashed">
        <color theme="3"/>
      </top>
      <bottom/>
      <diagonal/>
    </border>
    <border>
      <left style="thick">
        <color theme="0"/>
      </left>
      <right/>
      <top style="dashed">
        <color theme="3"/>
      </top>
      <bottom/>
      <diagonal/>
    </border>
    <border>
      <left/>
      <right style="dashed">
        <color theme="3"/>
      </right>
      <top style="dashed">
        <color theme="3"/>
      </top>
      <bottom/>
      <diagonal/>
    </border>
    <border>
      <left style="dashed">
        <color theme="3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dashed">
        <color theme="3"/>
      </right>
      <top/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dashed">
        <color theme="3"/>
      </left>
      <right/>
      <top/>
      <bottom style="dashed">
        <color theme="3"/>
      </bottom>
      <diagonal/>
    </border>
    <border>
      <left/>
      <right/>
      <top/>
      <bottom style="dashed">
        <color theme="3"/>
      </bottom>
      <diagonal/>
    </border>
    <border>
      <left style="thick">
        <color theme="0"/>
      </left>
      <right/>
      <top/>
      <bottom style="dashed">
        <color theme="3"/>
      </bottom>
      <diagonal/>
    </border>
    <border>
      <left/>
      <right style="dashed">
        <color theme="3"/>
      </right>
      <top/>
      <bottom style="dashed">
        <color theme="3"/>
      </bottom>
      <diagonal/>
    </border>
    <border>
      <left style="dashed">
        <color theme="4"/>
      </left>
      <right/>
      <top style="dashed">
        <color theme="4"/>
      </top>
      <bottom/>
      <diagonal/>
    </border>
    <border>
      <left/>
      <right/>
      <top style="dashed">
        <color theme="4"/>
      </top>
      <bottom/>
      <diagonal/>
    </border>
    <border>
      <left style="thick">
        <color theme="0"/>
      </left>
      <right/>
      <top style="dashed">
        <color theme="4"/>
      </top>
      <bottom/>
      <diagonal/>
    </border>
    <border>
      <left style="dashed">
        <color theme="4"/>
      </left>
      <right/>
      <top/>
      <bottom/>
      <diagonal/>
    </border>
    <border>
      <left style="dashed">
        <color theme="4"/>
      </left>
      <right/>
      <top/>
      <bottom style="dashed">
        <color theme="4"/>
      </bottom>
      <diagonal/>
    </border>
    <border>
      <left/>
      <right/>
      <top/>
      <bottom style="dashed">
        <color theme="4"/>
      </bottom>
      <diagonal/>
    </border>
    <border>
      <left style="thick">
        <color theme="0"/>
      </left>
      <right/>
      <top/>
      <bottom style="dashed">
        <color theme="4"/>
      </bottom>
      <diagonal/>
    </border>
    <border>
      <left/>
      <right style="dashed">
        <color theme="4"/>
      </right>
      <top style="dashed">
        <color theme="4"/>
      </top>
      <bottom/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dashed">
        <color theme="4"/>
      </right>
      <top/>
      <bottom/>
      <diagonal/>
    </border>
    <border>
      <left/>
      <right style="dashed">
        <color theme="4"/>
      </right>
      <top/>
      <bottom style="dashed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5E8AB4"/>
      </top>
      <bottom style="medium">
        <color rgb="FF5E8AB4"/>
      </bottom>
      <diagonal/>
    </border>
    <border>
      <left/>
      <right/>
      <top/>
      <bottom style="thin">
        <color rgb="FF5E8AB4"/>
      </bottom>
      <diagonal/>
    </border>
    <border>
      <left/>
      <right/>
      <top/>
      <bottom style="medium">
        <color rgb="FF5E8AB4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17" borderId="60" applyNumberFormat="0" applyFon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8" fillId="0" borderId="61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18" borderId="62" applyNumberFormat="0" applyAlignment="0" applyProtection="0">
      <alignment vertical="center"/>
    </xf>
    <xf numFmtId="0" fontId="70" fillId="19" borderId="63" applyNumberFormat="0" applyAlignment="0" applyProtection="0">
      <alignment vertical="center"/>
    </xf>
    <xf numFmtId="0" fontId="71" fillId="19" borderId="62" applyNumberFormat="0" applyAlignment="0" applyProtection="0">
      <alignment vertical="center"/>
    </xf>
    <xf numFmtId="0" fontId="72" fillId="20" borderId="64" applyNumberFormat="0" applyAlignment="0" applyProtection="0">
      <alignment vertical="center"/>
    </xf>
    <xf numFmtId="0" fontId="73" fillId="0" borderId="65" applyNumberFormat="0" applyFill="0" applyAlignment="0" applyProtection="0">
      <alignment vertical="center"/>
    </xf>
    <xf numFmtId="0" fontId="74" fillId="0" borderId="66" applyNumberFormat="0" applyFill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9" fillId="25" borderId="0" applyNumberFormat="0" applyBorder="0" applyAlignment="0" applyProtection="0">
      <alignment vertical="center"/>
    </xf>
    <xf numFmtId="0" fontId="79" fillId="26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8" fillId="35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8" fillId="39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7" fillId="0" borderId="0">
      <protection locked="0"/>
    </xf>
    <xf numFmtId="9" fontId="3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0" fontId="0" fillId="0" borderId="0">
      <alignment vertical="center"/>
    </xf>
    <xf numFmtId="176" fontId="0" fillId="0" borderId="0"/>
    <xf numFmtId="0" fontId="80" fillId="0" borderId="0">
      <alignment vertical="center"/>
    </xf>
    <xf numFmtId="0" fontId="0" fillId="0" borderId="0"/>
    <xf numFmtId="0" fontId="0" fillId="0" borderId="0">
      <alignment vertical="center"/>
    </xf>
    <xf numFmtId="0" fontId="27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325">
    <xf numFmtId="0" fontId="0" fillId="0" borderId="0" xfId="0">
      <alignment vertical="center"/>
    </xf>
    <xf numFmtId="0" fontId="1" fillId="2" borderId="0" xfId="64" applyFont="1" applyFill="1" applyAlignment="1">
      <alignment vertical="center"/>
    </xf>
    <xf numFmtId="0" fontId="2" fillId="2" borderId="1" xfId="64" applyFont="1" applyFill="1" applyBorder="1" applyAlignment="1">
      <alignment horizontal="center" vertical="center"/>
    </xf>
    <xf numFmtId="0" fontId="3" fillId="2" borderId="1" xfId="64" applyFont="1" applyFill="1" applyBorder="1" applyAlignment="1">
      <alignment horizontal="center" vertical="center"/>
    </xf>
    <xf numFmtId="0" fontId="2" fillId="3" borderId="2" xfId="64" applyFont="1" applyFill="1" applyBorder="1" applyAlignment="1">
      <alignment horizontal="center" vertical="center"/>
    </xf>
    <xf numFmtId="0" fontId="2" fillId="3" borderId="3" xfId="64" applyFont="1" applyFill="1" applyBorder="1" applyAlignment="1">
      <alignment horizontal="center" vertical="center"/>
    </xf>
    <xf numFmtId="0" fontId="4" fillId="2" borderId="0" xfId="63" applyFont="1" applyFill="1">
      <alignment vertical="center"/>
    </xf>
    <xf numFmtId="0" fontId="5" fillId="2" borderId="0" xfId="63" applyFont="1" applyFill="1" applyAlignment="1"/>
    <xf numFmtId="0" fontId="6" fillId="2" borderId="4" xfId="64" applyFont="1" applyFill="1" applyBorder="1" applyAlignment="1">
      <alignment vertical="center"/>
    </xf>
    <xf numFmtId="49" fontId="3" fillId="2" borderId="4" xfId="64" applyNumberFormat="1" applyFont="1" applyFill="1" applyBorder="1" applyAlignment="1">
      <alignment horizontal="right" vertical="center"/>
    </xf>
    <xf numFmtId="49" fontId="3" fillId="3" borderId="5" xfId="64" applyNumberFormat="1" applyFont="1" applyFill="1" applyBorder="1" applyAlignment="1">
      <alignment horizontal="right" vertical="center"/>
    </xf>
    <xf numFmtId="49" fontId="3" fillId="3" borderId="4" xfId="64" applyNumberFormat="1" applyFont="1" applyFill="1" applyBorder="1" applyAlignment="1">
      <alignment horizontal="right" vertical="center"/>
    </xf>
    <xf numFmtId="177" fontId="3" fillId="3" borderId="4" xfId="64" applyNumberFormat="1" applyFont="1" applyFill="1" applyBorder="1" applyAlignment="1">
      <alignment horizontal="right" vertical="center"/>
    </xf>
    <xf numFmtId="176" fontId="7" fillId="2" borderId="0" xfId="62" applyFont="1" applyFill="1" applyAlignment="1">
      <alignment horizontal="left" vertical="center"/>
    </xf>
    <xf numFmtId="0" fontId="8" fillId="2" borderId="0" xfId="62" applyNumberFormat="1" applyFont="1" applyFill="1" applyAlignment="1">
      <alignment horizontal="right" vertical="center"/>
    </xf>
    <xf numFmtId="49" fontId="9" fillId="2" borderId="0" xfId="62" applyNumberFormat="1" applyFont="1" applyFill="1" applyAlignment="1">
      <alignment horizontal="right" vertical="center"/>
    </xf>
    <xf numFmtId="0" fontId="10" fillId="2" borderId="0" xfId="64" applyFont="1" applyFill="1" applyAlignment="1">
      <alignment vertical="center"/>
    </xf>
    <xf numFmtId="178" fontId="10" fillId="2" borderId="0" xfId="70" applyNumberFormat="1" applyFont="1" applyFill="1" applyBorder="1">
      <alignment vertical="center"/>
    </xf>
    <xf numFmtId="178" fontId="10" fillId="3" borderId="6" xfId="70" applyNumberFormat="1" applyFont="1" applyFill="1" applyBorder="1">
      <alignment vertical="center"/>
    </xf>
    <xf numFmtId="9" fontId="1" fillId="3" borderId="0" xfId="60" applyFont="1" applyFill="1">
      <alignment vertical="center"/>
    </xf>
    <xf numFmtId="178" fontId="10" fillId="3" borderId="0" xfId="70" applyNumberFormat="1" applyFont="1" applyFill="1" applyBorder="1">
      <alignment vertical="center"/>
    </xf>
    <xf numFmtId="0" fontId="11" fillId="2" borderId="7" xfId="63" applyFont="1" applyFill="1" applyBorder="1">
      <alignment vertical="center"/>
    </xf>
    <xf numFmtId="178" fontId="1" fillId="2" borderId="7" xfId="63" applyNumberFormat="1" applyFont="1" applyFill="1" applyBorder="1">
      <alignment vertical="center"/>
    </xf>
    <xf numFmtId="0" fontId="1" fillId="0" borderId="8" xfId="67" applyFont="1" applyBorder="1" applyAlignment="1">
      <alignment horizontal="left" indent="1"/>
    </xf>
    <xf numFmtId="178" fontId="1" fillId="0" borderId="9" xfId="61" applyNumberFormat="1" applyFont="1" applyBorder="1">
      <alignment vertical="center"/>
    </xf>
    <xf numFmtId="178" fontId="1" fillId="3" borderId="10" xfId="70" applyNumberFormat="1" applyFont="1" applyFill="1" applyBorder="1">
      <alignment vertical="center"/>
    </xf>
    <xf numFmtId="9" fontId="1" fillId="3" borderId="9" xfId="60" applyFont="1" applyFill="1" applyBorder="1">
      <alignment vertical="center"/>
    </xf>
    <xf numFmtId="178" fontId="1" fillId="3" borderId="11" xfId="71" applyNumberFormat="1" applyFont="1" applyFill="1" applyBorder="1">
      <alignment vertical="center"/>
    </xf>
    <xf numFmtId="9" fontId="1" fillId="3" borderId="11" xfId="60" applyFont="1" applyFill="1" applyBorder="1">
      <alignment vertical="center"/>
    </xf>
    <xf numFmtId="0" fontId="11" fillId="2" borderId="0" xfId="63" applyFont="1" applyFill="1">
      <alignment vertical="center"/>
    </xf>
    <xf numFmtId="178" fontId="1" fillId="2" borderId="0" xfId="63" applyNumberFormat="1" applyFont="1" applyFill="1">
      <alignment vertical="center"/>
    </xf>
    <xf numFmtId="0" fontId="1" fillId="2" borderId="12" xfId="64" applyFont="1" applyFill="1" applyBorder="1" applyAlignment="1">
      <alignment horizontal="left" vertical="center" indent="1"/>
    </xf>
    <xf numFmtId="179" fontId="1" fillId="2" borderId="0" xfId="70" applyNumberFormat="1" applyFont="1" applyFill="1" applyBorder="1">
      <alignment vertical="center"/>
    </xf>
    <xf numFmtId="178" fontId="1" fillId="3" borderId="13" xfId="70" applyNumberFormat="1" applyFont="1" applyFill="1" applyBorder="1">
      <alignment vertical="center"/>
    </xf>
    <xf numFmtId="178" fontId="1" fillId="3" borderId="14" xfId="70" applyNumberFormat="1" applyFont="1" applyFill="1" applyBorder="1">
      <alignment vertical="center"/>
    </xf>
    <xf numFmtId="9" fontId="1" fillId="3" borderId="14" xfId="60" applyFont="1" applyFill="1" applyBorder="1">
      <alignment vertical="center"/>
    </xf>
    <xf numFmtId="0" fontId="12" fillId="2" borderId="15" xfId="63" applyFont="1" applyFill="1" applyBorder="1">
      <alignment vertical="center"/>
    </xf>
    <xf numFmtId="178" fontId="10" fillId="2" borderId="15" xfId="63" applyNumberFormat="1" applyFont="1" applyFill="1" applyBorder="1">
      <alignment vertical="center"/>
    </xf>
    <xf numFmtId="0" fontId="1" fillId="2" borderId="16" xfId="64" applyFont="1" applyFill="1" applyBorder="1" applyAlignment="1">
      <alignment horizontal="left" vertical="center" indent="1"/>
    </xf>
    <xf numFmtId="3" fontId="1" fillId="2" borderId="17" xfId="70" applyNumberFormat="1" applyFont="1" applyFill="1" applyBorder="1">
      <alignment vertical="center"/>
    </xf>
    <xf numFmtId="178" fontId="1" fillId="3" borderId="18" xfId="70" applyNumberFormat="1" applyFont="1" applyFill="1" applyBorder="1">
      <alignment vertical="center"/>
    </xf>
    <xf numFmtId="9" fontId="1" fillId="3" borderId="17" xfId="60" applyFont="1" applyFill="1" applyBorder="1">
      <alignment vertical="center"/>
    </xf>
    <xf numFmtId="178" fontId="1" fillId="3" borderId="19" xfId="70" applyNumberFormat="1" applyFont="1" applyFill="1" applyBorder="1">
      <alignment vertical="center"/>
    </xf>
    <xf numFmtId="9" fontId="1" fillId="3" borderId="19" xfId="60" applyFont="1" applyFill="1" applyBorder="1">
      <alignment vertical="center"/>
    </xf>
    <xf numFmtId="0" fontId="13" fillId="2" borderId="0" xfId="64" applyFont="1" applyFill="1" applyAlignment="1">
      <alignment horizontal="left" vertical="center" indent="1"/>
    </xf>
    <xf numFmtId="9" fontId="13" fillId="2" borderId="0" xfId="59" applyFont="1" applyFill="1" applyBorder="1">
      <alignment vertical="center"/>
    </xf>
    <xf numFmtId="9" fontId="13" fillId="3" borderId="13" xfId="59" applyFont="1" applyFill="1" applyBorder="1">
      <alignment vertical="center"/>
    </xf>
    <xf numFmtId="9" fontId="13" fillId="3" borderId="0" xfId="59" applyFont="1" applyFill="1" applyBorder="1">
      <alignment vertical="center"/>
    </xf>
    <xf numFmtId="9" fontId="1" fillId="3" borderId="0" xfId="59" applyFont="1" applyFill="1" applyBorder="1">
      <alignment vertical="center"/>
    </xf>
    <xf numFmtId="178" fontId="10" fillId="2" borderId="0" xfId="65" applyNumberFormat="1" applyFont="1" applyFill="1">
      <alignment vertical="center"/>
    </xf>
    <xf numFmtId="178" fontId="10" fillId="3" borderId="13" xfId="70" applyNumberFormat="1" applyFont="1" applyFill="1" applyBorder="1">
      <alignment vertical="center"/>
    </xf>
    <xf numFmtId="178" fontId="10" fillId="3" borderId="0" xfId="71" applyNumberFormat="1" applyFont="1" applyFill="1" applyBorder="1">
      <alignment vertical="center"/>
    </xf>
    <xf numFmtId="0" fontId="1" fillId="2" borderId="20" xfId="64" applyFont="1" applyFill="1" applyBorder="1" applyAlignment="1">
      <alignment horizontal="left" vertical="center" indent="1"/>
    </xf>
    <xf numFmtId="178" fontId="1" fillId="2" borderId="21" xfId="65" applyNumberFormat="1" applyFont="1" applyFill="1" applyBorder="1">
      <alignment vertical="center"/>
    </xf>
    <xf numFmtId="178" fontId="1" fillId="3" borderId="22" xfId="70" applyNumberFormat="1" applyFont="1" applyFill="1" applyBorder="1">
      <alignment vertical="center"/>
    </xf>
    <xf numFmtId="178" fontId="1" fillId="3" borderId="21" xfId="71" applyNumberFormat="1" applyFont="1" applyFill="1" applyBorder="1">
      <alignment vertical="center"/>
    </xf>
    <xf numFmtId="0" fontId="1" fillId="2" borderId="23" xfId="64" applyFont="1" applyFill="1" applyBorder="1" applyAlignment="1">
      <alignment horizontal="left" vertical="center" indent="1"/>
    </xf>
    <xf numFmtId="178" fontId="1" fillId="2" borderId="0" xfId="65" applyNumberFormat="1" applyFont="1" applyFill="1">
      <alignment vertical="center"/>
    </xf>
    <xf numFmtId="178" fontId="1" fillId="3" borderId="0" xfId="71" applyNumberFormat="1" applyFont="1" applyFill="1" applyBorder="1">
      <alignment vertical="center"/>
    </xf>
    <xf numFmtId="0" fontId="14" fillId="2" borderId="23" xfId="64" applyFont="1" applyFill="1" applyBorder="1" applyAlignment="1">
      <alignment horizontal="left" vertical="center" indent="1"/>
    </xf>
    <xf numFmtId="0" fontId="14" fillId="2" borderId="24" xfId="64" applyFont="1" applyFill="1" applyBorder="1" applyAlignment="1">
      <alignment horizontal="left" vertical="center" indent="1"/>
    </xf>
    <xf numFmtId="178" fontId="1" fillId="2" borderId="25" xfId="70" applyNumberFormat="1" applyFont="1" applyFill="1" applyBorder="1" applyAlignment="1">
      <alignment vertical="center"/>
    </xf>
    <xf numFmtId="178" fontId="1" fillId="3" borderId="26" xfId="70" applyNumberFormat="1" applyFont="1" applyFill="1" applyBorder="1">
      <alignment vertical="center"/>
    </xf>
    <xf numFmtId="178" fontId="1" fillId="3" borderId="25" xfId="71" applyNumberFormat="1" applyFont="1" applyFill="1" applyBorder="1">
      <alignment vertical="center"/>
    </xf>
    <xf numFmtId="0" fontId="15" fillId="2" borderId="0" xfId="64" applyFont="1" applyFill="1" applyAlignment="1">
      <alignment horizontal="left" vertical="center"/>
    </xf>
    <xf numFmtId="9" fontId="15" fillId="2" borderId="0" xfId="59" applyFont="1" applyFill="1" applyBorder="1" applyAlignment="1">
      <alignment horizontal="right" vertical="center"/>
    </xf>
    <xf numFmtId="9" fontId="15" fillId="3" borderId="13" xfId="59" applyFont="1" applyFill="1" applyBorder="1" applyAlignment="1">
      <alignment horizontal="right" vertical="center"/>
    </xf>
    <xf numFmtId="9" fontId="15" fillId="3" borderId="0" xfId="59" applyFont="1" applyFill="1" applyBorder="1" applyAlignment="1">
      <alignment horizontal="right" vertical="center"/>
    </xf>
    <xf numFmtId="9" fontId="15" fillId="3" borderId="0" xfId="59" applyFont="1" applyFill="1" applyBorder="1">
      <alignment vertical="center"/>
    </xf>
    <xf numFmtId="0" fontId="10" fillId="2" borderId="0" xfId="64" applyFont="1" applyFill="1" applyAlignment="1">
      <alignment horizontal="left" vertical="center"/>
    </xf>
    <xf numFmtId="178" fontId="10" fillId="2" borderId="0" xfId="70" applyNumberFormat="1" applyFont="1" applyFill="1" applyBorder="1" applyAlignment="1">
      <alignment horizontal="left" vertical="center"/>
    </xf>
    <xf numFmtId="178" fontId="10" fillId="3" borderId="0" xfId="70" applyNumberFormat="1" applyFont="1" applyFill="1" applyBorder="1" applyAlignment="1">
      <alignment horizontal="left" vertical="center"/>
    </xf>
    <xf numFmtId="0" fontId="1" fillId="2" borderId="20" xfId="64" applyFont="1" applyFill="1" applyBorder="1" applyAlignment="1">
      <alignment vertical="center"/>
    </xf>
    <xf numFmtId="178" fontId="1" fillId="3" borderId="21" xfId="70" applyNumberFormat="1" applyFont="1" applyFill="1" applyBorder="1" applyAlignment="1">
      <alignment vertical="center"/>
    </xf>
    <xf numFmtId="178" fontId="1" fillId="3" borderId="27" xfId="71" applyNumberFormat="1" applyFont="1" applyFill="1" applyBorder="1">
      <alignment vertical="center"/>
    </xf>
    <xf numFmtId="0" fontId="12" fillId="4" borderId="28" xfId="63" applyFont="1" applyFill="1" applyBorder="1">
      <alignment vertical="center"/>
    </xf>
    <xf numFmtId="178" fontId="10" fillId="4" borderId="28" xfId="63" applyNumberFormat="1" applyFont="1" applyFill="1" applyBorder="1">
      <alignment vertical="center"/>
    </xf>
    <xf numFmtId="0" fontId="1" fillId="2" borderId="23" xfId="64" applyFont="1" applyFill="1" applyBorder="1" applyAlignment="1">
      <alignment vertical="center"/>
    </xf>
    <xf numFmtId="178" fontId="1" fillId="2" borderId="0" xfId="70" applyNumberFormat="1" applyFont="1" applyFill="1" applyBorder="1" applyAlignment="1">
      <alignment vertical="center"/>
    </xf>
    <xf numFmtId="178" fontId="1" fillId="3" borderId="0" xfId="70" applyNumberFormat="1" applyFont="1" applyFill="1" applyBorder="1" applyAlignment="1">
      <alignment vertical="center"/>
    </xf>
    <xf numFmtId="178" fontId="1" fillId="3" borderId="29" xfId="71" applyNumberFormat="1" applyFont="1" applyFill="1" applyBorder="1">
      <alignment vertical="center"/>
    </xf>
    <xf numFmtId="0" fontId="8" fillId="2" borderId="0" xfId="63" applyFont="1" applyFill="1" applyAlignment="1"/>
    <xf numFmtId="178" fontId="10" fillId="2" borderId="0" xfId="63" applyNumberFormat="1" applyFont="1" applyFill="1" applyAlignment="1"/>
    <xf numFmtId="0" fontId="16" fillId="5" borderId="0" xfId="63" applyFont="1" applyFill="1" applyAlignment="1"/>
    <xf numFmtId="180" fontId="17" fillId="5" borderId="0" xfId="3" applyNumberFormat="1" applyFont="1" applyFill="1" applyBorder="1" applyAlignment="1">
      <alignment horizontal="right"/>
    </xf>
    <xf numFmtId="0" fontId="1" fillId="2" borderId="24" xfId="64" applyFont="1" applyFill="1" applyBorder="1" applyAlignment="1">
      <alignment vertical="center"/>
    </xf>
    <xf numFmtId="178" fontId="1" fillId="3" borderId="25" xfId="70" applyNumberFormat="1" applyFont="1" applyFill="1" applyBorder="1" applyAlignment="1">
      <alignment vertical="center"/>
    </xf>
    <xf numFmtId="178" fontId="1" fillId="3" borderId="30" xfId="71" applyNumberFormat="1" applyFont="1" applyFill="1" applyBorder="1">
      <alignment vertical="center"/>
    </xf>
    <xf numFmtId="178" fontId="10" fillId="2" borderId="0" xfId="70" applyNumberFormat="1" applyFont="1" applyFill="1" applyBorder="1" applyAlignment="1">
      <alignment vertical="center"/>
    </xf>
    <xf numFmtId="178" fontId="10" fillId="3" borderId="0" xfId="70" applyNumberFormat="1" applyFont="1" applyFill="1" applyBorder="1" applyAlignment="1">
      <alignment vertical="center"/>
    </xf>
    <xf numFmtId="0" fontId="15" fillId="2" borderId="0" xfId="64" applyFont="1" applyFill="1" applyAlignment="1">
      <alignment vertical="center"/>
    </xf>
    <xf numFmtId="180" fontId="15" fillId="2" borderId="0" xfId="59" applyNumberFormat="1" applyFont="1" applyFill="1" applyBorder="1" applyAlignment="1">
      <alignment horizontal="right" vertical="center"/>
    </xf>
    <xf numFmtId="9" fontId="15" fillId="3" borderId="0" xfId="59" applyFont="1" applyFill="1" applyBorder="1" applyAlignment="1">
      <alignment vertical="center"/>
    </xf>
    <xf numFmtId="9" fontId="1" fillId="2" borderId="0" xfId="59" applyFont="1" applyFill="1" applyBorder="1">
      <alignment vertical="center"/>
    </xf>
    <xf numFmtId="0" fontId="0" fillId="0" borderId="0" xfId="54">
      <alignment vertical="center"/>
    </xf>
    <xf numFmtId="0" fontId="18" fillId="0" borderId="0" xfId="54" applyFont="1" applyAlignment="1">
      <alignment horizontal="center" vertical="center" wrapText="1"/>
    </xf>
    <xf numFmtId="0" fontId="0" fillId="6" borderId="0" xfId="54" applyFill="1" applyAlignment="1">
      <alignment vertical="center" wrapText="1"/>
    </xf>
    <xf numFmtId="43" fontId="0" fillId="7" borderId="0" xfId="54" applyNumberFormat="1" applyFill="1" applyAlignment="1">
      <alignment horizontal="right" vertical="center"/>
    </xf>
    <xf numFmtId="0" fontId="0" fillId="8" borderId="0" xfId="54" applyFill="1" applyAlignment="1">
      <alignment vertical="center" wrapText="1"/>
    </xf>
    <xf numFmtId="0" fontId="0" fillId="9" borderId="0" xfId="54" applyFill="1" applyAlignment="1">
      <alignment vertical="center" wrapText="1"/>
    </xf>
    <xf numFmtId="4" fontId="0" fillId="0" borderId="0" xfId="54" applyNumberFormat="1">
      <alignment vertical="center"/>
    </xf>
    <xf numFmtId="43" fontId="0" fillId="0" borderId="0" xfId="54" applyNumberFormat="1">
      <alignment vertical="center"/>
    </xf>
    <xf numFmtId="181" fontId="0" fillId="0" borderId="0" xfId="49" applyNumberFormat="1" applyFont="1">
      <alignment vertical="center"/>
    </xf>
    <xf numFmtId="182" fontId="19" fillId="0" borderId="0" xfId="54" applyNumberFormat="1" applyFont="1" applyAlignment="1"/>
    <xf numFmtId="182" fontId="0" fillId="0" borderId="0" xfId="0" applyNumberFormat="1" applyAlignment="1"/>
    <xf numFmtId="182" fontId="19" fillId="0" borderId="0" xfId="54" applyNumberFormat="1" applyFont="1">
      <alignment vertical="center"/>
    </xf>
    <xf numFmtId="181" fontId="0" fillId="0" borderId="0" xfId="54" applyNumberFormat="1">
      <alignment vertical="center"/>
    </xf>
    <xf numFmtId="0" fontId="0" fillId="0" borderId="0" xfId="55">
      <alignment vertical="center"/>
    </xf>
    <xf numFmtId="0" fontId="0" fillId="2" borderId="0" xfId="55" applyFill="1">
      <alignment vertical="center"/>
    </xf>
    <xf numFmtId="0" fontId="20" fillId="2" borderId="0" xfId="55" applyFont="1" applyFill="1" applyAlignment="1">
      <alignment horizontal="center" vertical="center"/>
    </xf>
    <xf numFmtId="0" fontId="20" fillId="0" borderId="0" xfId="55" applyFont="1" applyAlignment="1">
      <alignment horizontal="center" vertical="center"/>
    </xf>
    <xf numFmtId="0" fontId="21" fillId="0" borderId="1" xfId="55" applyFont="1" applyBorder="1" applyAlignment="1">
      <alignment horizontal="center" vertical="center"/>
    </xf>
    <xf numFmtId="0" fontId="20" fillId="0" borderId="1" xfId="55" applyFont="1" applyBorder="1" applyAlignment="1">
      <alignment horizontal="center" vertical="center"/>
    </xf>
    <xf numFmtId="0" fontId="22" fillId="2" borderId="4" xfId="55" applyFont="1" applyFill="1" applyBorder="1">
      <alignment vertical="center"/>
    </xf>
    <xf numFmtId="0" fontId="23" fillId="2" borderId="4" xfId="55" applyFont="1" applyFill="1" applyBorder="1">
      <alignment vertical="center"/>
    </xf>
    <xf numFmtId="0" fontId="23" fillId="2" borderId="4" xfId="55" applyFont="1" applyFill="1" applyBorder="1" applyAlignment="1">
      <alignment horizontal="right" vertical="center"/>
    </xf>
    <xf numFmtId="0" fontId="23" fillId="0" borderId="4" xfId="55" applyFont="1" applyBorder="1">
      <alignment vertical="center"/>
    </xf>
    <xf numFmtId="0" fontId="23" fillId="0" borderId="4" xfId="55" applyFont="1" applyBorder="1" applyAlignment="1">
      <alignment horizontal="right" vertical="center"/>
    </xf>
    <xf numFmtId="0" fontId="24" fillId="2" borderId="0" xfId="55" applyFont="1" applyFill="1">
      <alignment vertical="center"/>
    </xf>
    <xf numFmtId="181" fontId="25" fillId="2" borderId="0" xfId="50" applyNumberFormat="1" applyFont="1" applyFill="1">
      <alignment vertical="center"/>
    </xf>
    <xf numFmtId="181" fontId="25" fillId="0" borderId="0" xfId="50" applyNumberFormat="1" applyFont="1" applyFill="1">
      <alignment vertical="center"/>
    </xf>
    <xf numFmtId="183" fontId="25" fillId="2" borderId="0" xfId="58" applyNumberFormat="1" applyFont="1" applyFill="1">
      <alignment vertical="center"/>
    </xf>
    <xf numFmtId="183" fontId="25" fillId="0" borderId="0" xfId="58" applyNumberFormat="1" applyFont="1" applyFill="1">
      <alignment vertical="center"/>
    </xf>
    <xf numFmtId="0" fontId="24" fillId="2" borderId="0" xfId="55" applyFont="1" applyFill="1" applyAlignment="1">
      <alignment horizontal="center" vertical="center"/>
    </xf>
    <xf numFmtId="0" fontId="24" fillId="2" borderId="0" xfId="55" applyFont="1" applyFill="1" applyAlignment="1">
      <alignment horizontal="left" vertical="top" wrapText="1"/>
    </xf>
    <xf numFmtId="0" fontId="24" fillId="0" borderId="0" xfId="55" applyFont="1" applyAlignment="1">
      <alignment horizontal="left" vertical="top" wrapText="1"/>
    </xf>
    <xf numFmtId="0" fontId="24" fillId="0" borderId="0" xfId="55" applyFont="1" applyAlignment="1">
      <alignment horizontal="center" vertical="top" wrapText="1"/>
    </xf>
    <xf numFmtId="0" fontId="18" fillId="0" borderId="0" xfId="0" applyFont="1" applyAlignment="1"/>
    <xf numFmtId="10" fontId="18" fillId="0" borderId="0" xfId="0" applyNumberFormat="1" applyFont="1" applyAlignment="1"/>
    <xf numFmtId="0" fontId="18" fillId="0" borderId="0" xfId="0" applyFont="1" applyAlignment="1">
      <alignment horizontal="center" vertical="center"/>
    </xf>
    <xf numFmtId="183" fontId="18" fillId="0" borderId="0" xfId="3" applyNumberFormat="1" applyFont="1" applyAlignment="1"/>
    <xf numFmtId="10" fontId="26" fillId="0" borderId="0" xfId="0" applyNumberFormat="1" applyFont="1" applyAlignment="1"/>
    <xf numFmtId="183" fontId="18" fillId="0" borderId="0" xfId="0" applyNumberFormat="1" applyFont="1" applyAlignment="1"/>
    <xf numFmtId="0" fontId="18" fillId="0" borderId="0" xfId="0" applyFont="1" applyAlignment="1">
      <alignment horizontal="center"/>
    </xf>
    <xf numFmtId="0" fontId="27" fillId="0" borderId="0" xfId="0" applyFont="1" applyAlignment="1"/>
    <xf numFmtId="0" fontId="18" fillId="0" borderId="31" xfId="54" applyFont="1" applyBorder="1" applyAlignment="1"/>
    <xf numFmtId="0" fontId="18" fillId="0" borderId="32" xfId="54" applyFont="1" applyBorder="1" applyAlignment="1"/>
    <xf numFmtId="0" fontId="18" fillId="0" borderId="33" xfId="54" applyFont="1" applyBorder="1" applyAlignment="1"/>
    <xf numFmtId="4" fontId="18" fillId="0" borderId="0" xfId="54" applyNumberFormat="1" applyFont="1" applyAlignment="1"/>
    <xf numFmtId="0" fontId="18" fillId="0" borderId="34" xfId="54" applyFont="1" applyBorder="1" applyAlignment="1"/>
    <xf numFmtId="0" fontId="18" fillId="0" borderId="35" xfId="54" applyFont="1" applyBorder="1" applyAlignment="1"/>
    <xf numFmtId="0" fontId="18" fillId="0" borderId="0" xfId="54" applyFont="1" applyAlignment="1">
      <alignment horizontal="center"/>
    </xf>
    <xf numFmtId="0" fontId="18" fillId="0" borderId="35" xfId="54" applyFont="1" applyBorder="1" applyAlignment="1">
      <alignment horizontal="center"/>
    </xf>
    <xf numFmtId="184" fontId="28" fillId="0" borderId="34" xfId="68" applyNumberFormat="1" applyFont="1" applyBorder="1" applyAlignment="1">
      <alignment horizontal="right" vertical="center"/>
    </xf>
    <xf numFmtId="181" fontId="18" fillId="0" borderId="0" xfId="1" applyNumberFormat="1" applyFont="1" applyFill="1" applyBorder="1" applyAlignment="1"/>
    <xf numFmtId="181" fontId="18" fillId="0" borderId="0" xfId="51" applyNumberFormat="1" applyFont="1" applyFill="1" applyBorder="1" applyAlignment="1"/>
    <xf numFmtId="181" fontId="18" fillId="0" borderId="35" xfId="54" applyNumberFormat="1" applyFont="1" applyFill="1" applyBorder="1" applyAlignment="1"/>
    <xf numFmtId="0" fontId="29" fillId="0" borderId="0" xfId="54" applyFont="1" applyAlignment="1"/>
    <xf numFmtId="0" fontId="18" fillId="0" borderId="0" xfId="54" applyFont="1" applyAlignment="1"/>
    <xf numFmtId="0" fontId="30" fillId="0" borderId="36" xfId="66" applyFont="1" applyBorder="1" applyAlignment="1">
      <alignment horizontal="right"/>
    </xf>
    <xf numFmtId="181" fontId="18" fillId="0" borderId="37" xfId="51" applyNumberFormat="1" applyFont="1" applyFill="1" applyBorder="1" applyAlignment="1"/>
    <xf numFmtId="181" fontId="18" fillId="0" borderId="38" xfId="51" applyNumberFormat="1" applyFont="1" applyFill="1" applyBorder="1" applyAlignment="1"/>
    <xf numFmtId="181" fontId="18" fillId="0" borderId="38" xfId="54" applyNumberFormat="1" applyFont="1" applyFill="1" applyBorder="1" applyAlignment="1"/>
    <xf numFmtId="0" fontId="26" fillId="0" borderId="0" xfId="54" applyFont="1" applyAlignment="1">
      <alignment horizontal="center" vertical="center" wrapText="1"/>
    </xf>
    <xf numFmtId="0" fontId="31" fillId="10" borderId="39" xfId="54" applyFont="1" applyFill="1" applyBorder="1" applyAlignment="1">
      <alignment horizontal="center" vertical="center" wrapText="1"/>
    </xf>
    <xf numFmtId="0" fontId="31" fillId="10" borderId="40" xfId="54" applyFont="1" applyFill="1" applyBorder="1" applyAlignment="1">
      <alignment horizontal="center" vertical="center" wrapText="1"/>
    </xf>
    <xf numFmtId="0" fontId="31" fillId="11" borderId="40" xfId="54" applyFont="1" applyFill="1" applyBorder="1" applyAlignment="1">
      <alignment horizontal="center" vertical="center" wrapText="1"/>
    </xf>
    <xf numFmtId="0" fontId="31" fillId="10" borderId="41" xfId="54" applyFont="1" applyFill="1" applyBorder="1" applyAlignment="1">
      <alignment horizontal="center" vertical="center" wrapText="1"/>
    </xf>
    <xf numFmtId="0" fontId="18" fillId="0" borderId="42" xfId="54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3" xfId="54" applyFont="1" applyBorder="1" applyAlignment="1">
      <alignment horizontal="center" vertical="center" wrapText="1"/>
    </xf>
    <xf numFmtId="181" fontId="18" fillId="0" borderId="43" xfId="51" applyNumberFormat="1" applyFont="1" applyFill="1" applyBorder="1" applyAlignment="1">
      <alignment horizontal="center" vertical="center" wrapText="1"/>
    </xf>
    <xf numFmtId="181" fontId="18" fillId="9" borderId="43" xfId="51" applyNumberFormat="1" applyFont="1" applyFill="1" applyBorder="1" applyAlignment="1">
      <alignment horizontal="center" vertical="center" wrapText="1"/>
    </xf>
    <xf numFmtId="182" fontId="18" fillId="9" borderId="43" xfId="51" applyNumberFormat="1" applyFont="1" applyFill="1" applyBorder="1" applyAlignment="1">
      <alignment horizontal="center" vertical="center" wrapText="1"/>
    </xf>
    <xf numFmtId="4" fontId="18" fillId="0" borderId="43" xfId="54" applyNumberFormat="1" applyFont="1" applyBorder="1" applyAlignment="1">
      <alignment horizontal="center" vertical="center" wrapText="1"/>
    </xf>
    <xf numFmtId="4" fontId="18" fillId="0" borderId="43" xfId="54" applyNumberFormat="1" applyFont="1" applyBorder="1" applyAlignment="1">
      <alignment horizontal="center" vertical="center"/>
    </xf>
    <xf numFmtId="0" fontId="18" fillId="0" borderId="0" xfId="54" applyFont="1">
      <alignment vertical="center"/>
    </xf>
    <xf numFmtId="0" fontId="18" fillId="0" borderId="44" xfId="54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181" fontId="18" fillId="0" borderId="44" xfId="51" applyNumberFormat="1" applyFont="1" applyFill="1" applyBorder="1" applyAlignment="1">
      <alignment horizontal="center" vertical="center" wrapText="1"/>
    </xf>
    <xf numFmtId="181" fontId="18" fillId="9" borderId="44" xfId="51" applyNumberFormat="1" applyFont="1" applyFill="1" applyBorder="1" applyAlignment="1">
      <alignment horizontal="center" vertical="center" wrapText="1"/>
    </xf>
    <xf numFmtId="4" fontId="18" fillId="0" borderId="44" xfId="54" applyNumberFormat="1" applyFont="1" applyBorder="1" applyAlignment="1">
      <alignment horizontal="center" vertical="center" wrapText="1"/>
    </xf>
    <xf numFmtId="4" fontId="18" fillId="0" borderId="44" xfId="54" applyNumberFormat="1" applyFont="1" applyBorder="1" applyAlignment="1">
      <alignment horizontal="center" vertical="center"/>
    </xf>
    <xf numFmtId="4" fontId="18" fillId="0" borderId="45" xfId="54" applyNumberFormat="1" applyFont="1" applyBorder="1" applyAlignment="1">
      <alignment horizontal="center" vertical="center"/>
    </xf>
    <xf numFmtId="182" fontId="18" fillId="0" borderId="44" xfId="54" applyNumberFormat="1" applyFont="1" applyBorder="1" applyAlignment="1">
      <alignment horizontal="center" vertical="center" wrapText="1"/>
    </xf>
    <xf numFmtId="0" fontId="18" fillId="0" borderId="46" xfId="54" applyFont="1" applyBorder="1" applyAlignment="1"/>
    <xf numFmtId="0" fontId="18" fillId="0" borderId="47" xfId="54" applyFont="1" applyBorder="1" applyAlignment="1">
      <alignment vertical="center" wrapText="1"/>
    </xf>
    <xf numFmtId="0" fontId="18" fillId="0" borderId="47" xfId="54" applyFont="1" applyBorder="1" applyAlignment="1">
      <alignment horizontal="center" vertical="center" wrapText="1"/>
    </xf>
    <xf numFmtId="0" fontId="18" fillId="0" borderId="47" xfId="53" applyFont="1" applyBorder="1" applyAlignment="1">
      <alignment horizontal="center" vertical="center" wrapText="1"/>
    </xf>
    <xf numFmtId="43" fontId="18" fillId="9" borderId="43" xfId="51" applyFont="1" applyFill="1" applyBorder="1" applyAlignment="1">
      <alignment horizontal="center" vertical="center" wrapText="1"/>
    </xf>
    <xf numFmtId="4" fontId="26" fillId="0" borderId="47" xfId="54" applyNumberFormat="1" applyFont="1" applyBorder="1" applyAlignment="1">
      <alignment horizontal="center" vertical="center" wrapText="1"/>
    </xf>
    <xf numFmtId="4" fontId="18" fillId="0" borderId="47" xfId="54" applyNumberFormat="1" applyFont="1" applyBorder="1" applyAlignment="1">
      <alignment horizontal="center" vertical="center" wrapText="1"/>
    </xf>
    <xf numFmtId="4" fontId="18" fillId="0" borderId="48" xfId="54" applyNumberFormat="1" applyFont="1" applyBorder="1" applyAlignment="1">
      <alignment horizontal="center" vertical="center"/>
    </xf>
    <xf numFmtId="0" fontId="18" fillId="0" borderId="0" xfId="54" applyFont="1" applyAlignment="1">
      <alignment vertical="center" wrapText="1"/>
    </xf>
    <xf numFmtId="0" fontId="18" fillId="0" borderId="0" xfId="53" applyFont="1" applyAlignment="1">
      <alignment horizontal="center" vertical="center" wrapText="1"/>
    </xf>
    <xf numFmtId="4" fontId="26" fillId="0" borderId="0" xfId="54" applyNumberFormat="1" applyFont="1" applyAlignment="1">
      <alignment horizontal="center" vertical="center" wrapText="1"/>
    </xf>
    <xf numFmtId="4" fontId="18" fillId="0" borderId="0" xfId="54" applyNumberFormat="1" applyFont="1" applyAlignment="1">
      <alignment horizontal="center" vertical="center" wrapText="1"/>
    </xf>
    <xf numFmtId="4" fontId="18" fillId="0" borderId="0" xfId="54" applyNumberFormat="1" applyFont="1" applyAlignment="1">
      <alignment horizontal="left" vertical="center"/>
    </xf>
    <xf numFmtId="4" fontId="18" fillId="0" borderId="0" xfId="54" applyNumberFormat="1" applyFont="1" applyAlignment="1">
      <alignment horizontal="center" vertical="center"/>
    </xf>
    <xf numFmtId="0" fontId="18" fillId="0" borderId="0" xfId="53" applyFont="1" applyAlignment="1">
      <alignment horizontal="center"/>
    </xf>
    <xf numFmtId="181" fontId="18" fillId="9" borderId="43" xfId="53" applyNumberFormat="1" applyFont="1" applyFill="1" applyBorder="1" applyAlignment="1"/>
    <xf numFmtId="43" fontId="18" fillId="9" borderId="43" xfId="53" applyNumberFormat="1" applyFont="1" applyFill="1" applyBorder="1" applyAlignment="1"/>
    <xf numFmtId="0" fontId="32" fillId="0" borderId="0" xfId="54" applyFont="1" applyAlignment="1"/>
    <xf numFmtId="0" fontId="31" fillId="10" borderId="49" xfId="54" applyFont="1" applyFill="1" applyBorder="1" applyAlignment="1">
      <alignment horizontal="center" vertical="center"/>
    </xf>
    <xf numFmtId="0" fontId="31" fillId="10" borderId="50" xfId="54" applyFont="1" applyFill="1" applyBorder="1" applyAlignment="1">
      <alignment horizontal="center" vertical="center" wrapText="1"/>
    </xf>
    <xf numFmtId="0" fontId="31" fillId="10" borderId="51" xfId="54" applyFont="1" applyFill="1" applyBorder="1" applyAlignment="1">
      <alignment horizontal="center" vertical="center"/>
    </xf>
    <xf numFmtId="0" fontId="31" fillId="10" borderId="52" xfId="54" applyFont="1" applyFill="1" applyBorder="1" applyAlignment="1">
      <alignment horizontal="center" vertical="center"/>
    </xf>
    <xf numFmtId="0" fontId="31" fillId="0" borderId="0" xfId="54" applyFont="1">
      <alignment vertical="center"/>
    </xf>
    <xf numFmtId="0" fontId="33" fillId="0" borderId="0" xfId="54" applyFont="1">
      <alignment vertical="center"/>
    </xf>
    <xf numFmtId="0" fontId="31" fillId="10" borderId="44" xfId="54" applyFont="1" applyFill="1" applyBorder="1" applyAlignment="1">
      <alignment vertical="center" wrapText="1"/>
    </xf>
    <xf numFmtId="0" fontId="31" fillId="10" borderId="53" xfId="54" applyFont="1" applyFill="1" applyBorder="1" applyAlignment="1">
      <alignment horizontal="center" vertical="center"/>
    </xf>
    <xf numFmtId="0" fontId="31" fillId="10" borderId="54" xfId="54" applyFont="1" applyFill="1" applyBorder="1" applyAlignment="1">
      <alignment horizontal="center" vertical="center" wrapText="1"/>
    </xf>
    <xf numFmtId="0" fontId="31" fillId="10" borderId="43" xfId="54" applyFont="1" applyFill="1" applyBorder="1" applyAlignment="1">
      <alignment horizontal="center" vertical="center"/>
    </xf>
    <xf numFmtId="0" fontId="31" fillId="10" borderId="43" xfId="54" applyFont="1" applyFill="1" applyBorder="1">
      <alignment vertical="center"/>
    </xf>
    <xf numFmtId="0" fontId="31" fillId="0" borderId="0" xfId="54" applyFont="1" applyAlignment="1">
      <alignment horizontal="center" vertical="center"/>
    </xf>
    <xf numFmtId="0" fontId="31" fillId="10" borderId="54" xfId="54" applyFont="1" applyFill="1" applyBorder="1" applyAlignment="1">
      <alignment vertical="center" wrapText="1"/>
    </xf>
    <xf numFmtId="0" fontId="18" fillId="0" borderId="55" xfId="54" applyFont="1" applyBorder="1">
      <alignment vertical="center"/>
    </xf>
    <xf numFmtId="43" fontId="18" fillId="0" borderId="43" xfId="51" applyFont="1" applyFill="1" applyBorder="1" applyAlignment="1">
      <alignment horizontal="center" vertical="center"/>
    </xf>
    <xf numFmtId="185" fontId="18" fillId="7" borderId="43" xfId="54" applyNumberFormat="1" applyFont="1" applyFill="1" applyBorder="1" applyAlignment="1">
      <alignment horizontal="center" vertical="center"/>
    </xf>
    <xf numFmtId="185" fontId="18" fillId="7" borderId="43" xfId="54" applyNumberFormat="1" applyFont="1" applyFill="1" applyBorder="1">
      <alignment vertical="center"/>
    </xf>
    <xf numFmtId="185" fontId="18" fillId="0" borderId="0" xfId="54" applyNumberFormat="1" applyFont="1" applyAlignment="1">
      <alignment horizontal="center" vertical="center"/>
    </xf>
    <xf numFmtId="43" fontId="18" fillId="7" borderId="43" xfId="51" applyFont="1" applyFill="1" applyBorder="1" applyAlignment="1">
      <alignment horizontal="center" vertical="center"/>
    </xf>
    <xf numFmtId="0" fontId="18" fillId="7" borderId="43" xfId="54" applyFont="1" applyFill="1" applyBorder="1" applyAlignment="1">
      <alignment vertical="center" wrapText="1"/>
    </xf>
    <xf numFmtId="43" fontId="18" fillId="0" borderId="43" xfId="54" applyNumberFormat="1" applyFont="1" applyBorder="1" applyAlignment="1">
      <alignment horizontal="center" vertical="center"/>
    </xf>
    <xf numFmtId="185" fontId="18" fillId="0" borderId="43" xfId="54" applyNumberFormat="1" applyFont="1" applyBorder="1" applyAlignment="1">
      <alignment horizontal="center" vertical="center"/>
    </xf>
    <xf numFmtId="185" fontId="18" fillId="0" borderId="43" xfId="54" applyNumberFormat="1" applyFont="1" applyBorder="1">
      <alignment vertical="center"/>
    </xf>
    <xf numFmtId="0" fontId="18" fillId="0" borderId="43" xfId="54" applyFont="1" applyBorder="1" applyAlignment="1">
      <alignment vertical="center" wrapText="1"/>
    </xf>
    <xf numFmtId="0" fontId="26" fillId="0" borderId="46" xfId="54" applyFont="1" applyBorder="1">
      <alignment vertical="center"/>
    </xf>
    <xf numFmtId="43" fontId="26" fillId="0" borderId="47" xfId="51" applyFont="1" applyFill="1" applyBorder="1" applyAlignment="1">
      <alignment horizontal="center" vertical="center"/>
    </xf>
    <xf numFmtId="185" fontId="26" fillId="0" borderId="0" xfId="54" applyNumberFormat="1" applyFont="1" applyAlignment="1">
      <alignment horizontal="center" vertical="center"/>
    </xf>
    <xf numFmtId="0" fontId="26" fillId="0" borderId="43" xfId="54" applyFont="1" applyBorder="1">
      <alignment vertical="center"/>
    </xf>
    <xf numFmtId="0" fontId="18" fillId="7" borderId="55" xfId="54" applyFont="1" applyFill="1" applyBorder="1">
      <alignment vertical="center"/>
    </xf>
    <xf numFmtId="43" fontId="18" fillId="7" borderId="43" xfId="54" applyNumberFormat="1" applyFont="1" applyFill="1" applyBorder="1" applyAlignment="1">
      <alignment horizontal="center" vertical="center"/>
    </xf>
    <xf numFmtId="0" fontId="26" fillId="7" borderId="46" xfId="54" applyFont="1" applyFill="1" applyBorder="1">
      <alignment vertical="center"/>
    </xf>
    <xf numFmtId="43" fontId="26" fillId="7" borderId="47" xfId="51" applyFont="1" applyFill="1" applyBorder="1" applyAlignment="1">
      <alignment horizontal="center" vertical="center"/>
    </xf>
    <xf numFmtId="185" fontId="26" fillId="7" borderId="47" xfId="54" applyNumberFormat="1" applyFont="1" applyFill="1" applyBorder="1" applyAlignment="1">
      <alignment horizontal="center" vertical="center"/>
    </xf>
    <xf numFmtId="185" fontId="26" fillId="7" borderId="47" xfId="54" applyNumberFormat="1" applyFont="1" applyFill="1" applyBorder="1">
      <alignment vertical="center"/>
    </xf>
    <xf numFmtId="0" fontId="26" fillId="7" borderId="43" xfId="54" applyFont="1" applyFill="1" applyBorder="1">
      <alignment vertical="center"/>
    </xf>
    <xf numFmtId="0" fontId="34" fillId="0" borderId="0" xfId="53">
      <alignment vertical="center"/>
    </xf>
    <xf numFmtId="0" fontId="35" fillId="12" borderId="0" xfId="53" applyFont="1" applyFill="1">
      <alignment vertical="center"/>
    </xf>
    <xf numFmtId="0" fontId="35" fillId="12" borderId="0" xfId="53" applyFont="1" applyFill="1" applyAlignment="1">
      <alignment horizontal="right" vertical="center"/>
    </xf>
    <xf numFmtId="0" fontId="36" fillId="12" borderId="0" xfId="53" applyFont="1" applyFill="1" applyAlignment="1">
      <alignment horizontal="right" vertical="center"/>
    </xf>
    <xf numFmtId="0" fontId="37" fillId="2" borderId="0" xfId="53" applyFont="1" applyFill="1">
      <alignment vertical="center"/>
    </xf>
    <xf numFmtId="0" fontId="38" fillId="2" borderId="0" xfId="53" applyFont="1" applyFill="1" applyAlignment="1">
      <alignment horizontal="right" vertical="center"/>
    </xf>
    <xf numFmtId="0" fontId="37" fillId="2" borderId="0" xfId="53" applyFont="1" applyFill="1" applyAlignment="1">
      <alignment vertical="center" wrapText="1"/>
    </xf>
    <xf numFmtId="0" fontId="37" fillId="9" borderId="0" xfId="53" applyFont="1" applyFill="1">
      <alignment vertical="center"/>
    </xf>
    <xf numFmtId="186" fontId="38" fillId="2" borderId="0" xfId="49" applyNumberFormat="1" applyFont="1" applyFill="1">
      <alignment vertical="center"/>
    </xf>
    <xf numFmtId="9" fontId="38" fillId="2" borderId="0" xfId="57" applyFont="1" applyFill="1">
      <alignment vertical="center"/>
    </xf>
    <xf numFmtId="10" fontId="38" fillId="2" borderId="0" xfId="57" applyNumberFormat="1" applyFont="1" applyFill="1">
      <alignment vertical="center"/>
    </xf>
    <xf numFmtId="181" fontId="38" fillId="2" borderId="0" xfId="49" applyNumberFormat="1" applyFont="1" applyFill="1">
      <alignment vertical="center"/>
    </xf>
    <xf numFmtId="185" fontId="38" fillId="2" borderId="0" xfId="49" applyNumberFormat="1" applyFont="1" applyFill="1">
      <alignment vertical="center"/>
    </xf>
    <xf numFmtId="187" fontId="38" fillId="2" borderId="0" xfId="49" applyNumberFormat="1" applyFont="1" applyFill="1">
      <alignment vertical="center"/>
    </xf>
    <xf numFmtId="187" fontId="38" fillId="0" borderId="0" xfId="49" applyNumberFormat="1" applyFont="1" applyAlignment="1">
      <alignment horizontal="right" vertical="center"/>
    </xf>
    <xf numFmtId="0" fontId="37" fillId="13" borderId="0" xfId="53" applyFont="1" applyFill="1">
      <alignment vertical="center"/>
    </xf>
    <xf numFmtId="0" fontId="39" fillId="0" borderId="0" xfId="53" applyFont="1">
      <alignment vertical="center"/>
    </xf>
    <xf numFmtId="0" fontId="37" fillId="14" borderId="0" xfId="53" applyFont="1" applyFill="1">
      <alignment vertical="center"/>
    </xf>
    <xf numFmtId="0" fontId="37" fillId="0" borderId="0" xfId="53" applyFont="1" applyAlignment="1">
      <alignment horizontal="left" vertical="center"/>
    </xf>
    <xf numFmtId="181" fontId="27" fillId="0" borderId="0" xfId="49" applyNumberFormat="1" applyFont="1" applyBorder="1">
      <alignment vertical="center"/>
    </xf>
    <xf numFmtId="9" fontId="27" fillId="0" borderId="0" xfId="3" applyFont="1" applyBorder="1">
      <alignment vertical="center"/>
    </xf>
    <xf numFmtId="185" fontId="27" fillId="0" borderId="0" xfId="49" applyNumberFormat="1" applyFont="1" applyBorder="1">
      <alignment vertical="center"/>
    </xf>
    <xf numFmtId="0" fontId="37" fillId="0" borderId="0" xfId="53" applyFont="1">
      <alignment vertical="center"/>
    </xf>
    <xf numFmtId="181" fontId="27" fillId="0" borderId="0" xfId="49" applyNumberFormat="1" applyFont="1">
      <alignment vertical="center"/>
    </xf>
    <xf numFmtId="185" fontId="27" fillId="0" borderId="0" xfId="49" applyNumberFormat="1" applyFont="1">
      <alignment vertical="center"/>
    </xf>
    <xf numFmtId="9" fontId="27" fillId="0" borderId="0" xfId="57" applyFont="1">
      <alignment vertical="center"/>
    </xf>
    <xf numFmtId="177" fontId="34" fillId="0" borderId="0" xfId="53" applyNumberFormat="1">
      <alignment vertical="center"/>
    </xf>
    <xf numFmtId="0" fontId="39" fillId="0" borderId="43" xfId="53" applyFont="1" applyBorder="1">
      <alignment vertical="center"/>
    </xf>
    <xf numFmtId="0" fontId="34" fillId="0" borderId="43" xfId="53" applyBorder="1" applyAlignment="1">
      <alignment horizontal="center" vertical="center"/>
    </xf>
    <xf numFmtId="0" fontId="37" fillId="0" borderId="43" xfId="53" applyFont="1" applyBorder="1">
      <alignment vertical="center"/>
    </xf>
    <xf numFmtId="0" fontId="39" fillId="0" borderId="43" xfId="53" applyFont="1" applyBorder="1" applyAlignment="1">
      <alignment horizontal="right" vertical="center"/>
    </xf>
    <xf numFmtId="185" fontId="34" fillId="0" borderId="0" xfId="53" applyNumberFormat="1">
      <alignment vertical="center"/>
    </xf>
    <xf numFmtId="181" fontId="34" fillId="0" borderId="0" xfId="49" applyNumberFormat="1" applyFont="1" applyFill="1">
      <alignment vertical="center"/>
    </xf>
    <xf numFmtId="181" fontId="34" fillId="0" borderId="0" xfId="53" applyNumberFormat="1">
      <alignment vertical="center"/>
    </xf>
    <xf numFmtId="43" fontId="34" fillId="0" borderId="0" xfId="49" applyNumberFormat="1" applyFont="1" applyFill="1">
      <alignment vertical="center"/>
    </xf>
    <xf numFmtId="188" fontId="40" fillId="0" borderId="56" xfId="53" applyNumberFormat="1" applyFont="1" applyBorder="1">
      <alignment vertical="center"/>
    </xf>
    <xf numFmtId="181" fontId="27" fillId="0" borderId="56" xfId="49" applyNumberFormat="1" applyFont="1" applyBorder="1">
      <alignment vertical="center"/>
    </xf>
    <xf numFmtId="185" fontId="27" fillId="0" borderId="56" xfId="49" applyNumberFormat="1" applyFont="1" applyBorder="1">
      <alignment vertical="center"/>
    </xf>
    <xf numFmtId="188" fontId="41" fillId="0" borderId="57" xfId="53" applyNumberFormat="1" applyFont="1" applyBorder="1">
      <alignment vertical="center"/>
    </xf>
    <xf numFmtId="183" fontId="42" fillId="0" borderId="0" xfId="53" applyNumberFormat="1" applyFont="1" applyFill="1">
      <alignment vertical="center"/>
    </xf>
    <xf numFmtId="183" fontId="43" fillId="0" borderId="0" xfId="53" applyNumberFormat="1" applyFont="1" applyFill="1">
      <alignment vertical="center"/>
    </xf>
    <xf numFmtId="178" fontId="34" fillId="0" borderId="58" xfId="53" applyNumberFormat="1" applyBorder="1">
      <alignment vertical="center"/>
    </xf>
    <xf numFmtId="185" fontId="34" fillId="0" borderId="58" xfId="53" applyNumberFormat="1" applyBorder="1">
      <alignment vertical="center"/>
    </xf>
    <xf numFmtId="0" fontId="44" fillId="0" borderId="0" xfId="0" applyFont="1">
      <alignment vertical="center"/>
    </xf>
    <xf numFmtId="0" fontId="45" fillId="0" borderId="0" xfId="53" applyFont="1">
      <alignment vertical="center"/>
    </xf>
    <xf numFmtId="0" fontId="46" fillId="0" borderId="0" xfId="53" applyFont="1">
      <alignment vertical="center"/>
    </xf>
    <xf numFmtId="14" fontId="45" fillId="0" borderId="0" xfId="53" applyNumberFormat="1" applyFont="1">
      <alignment vertical="center"/>
    </xf>
    <xf numFmtId="0" fontId="47" fillId="15" borderId="0" xfId="53" applyFont="1" applyFill="1">
      <alignment vertical="center"/>
    </xf>
    <xf numFmtId="0" fontId="48" fillId="15" borderId="0" xfId="53" applyFont="1" applyFill="1" applyAlignment="1">
      <alignment horizontal="right"/>
    </xf>
    <xf numFmtId="181" fontId="45" fillId="0" borderId="0" xfId="49" applyNumberFormat="1" applyFont="1" applyBorder="1">
      <alignment vertical="center"/>
    </xf>
    <xf numFmtId="181" fontId="45" fillId="0" borderId="0" xfId="49" applyNumberFormat="1" applyFont="1" applyFill="1" applyBorder="1">
      <alignment vertical="center"/>
    </xf>
    <xf numFmtId="9" fontId="45" fillId="0" borderId="0" xfId="3" applyFont="1" applyFill="1" applyBorder="1" applyAlignment="1" applyProtection="1">
      <alignment vertical="center"/>
    </xf>
    <xf numFmtId="189" fontId="49" fillId="0" borderId="0" xfId="53" applyNumberFormat="1" applyFont="1">
      <alignment vertical="center"/>
    </xf>
    <xf numFmtId="10" fontId="45" fillId="0" borderId="0" xfId="49" applyNumberFormat="1" applyFont="1" applyFill="1" applyBorder="1">
      <alignment vertical="center"/>
    </xf>
    <xf numFmtId="9" fontId="50" fillId="0" borderId="0" xfId="3" applyNumberFormat="1" applyFont="1" applyBorder="1">
      <alignment vertical="center"/>
    </xf>
    <xf numFmtId="9" fontId="50" fillId="0" borderId="0" xfId="53" applyNumberFormat="1" applyFont="1">
      <alignment vertical="center"/>
    </xf>
    <xf numFmtId="0" fontId="46" fillId="0" borderId="59" xfId="53" applyFont="1" applyBorder="1">
      <alignment vertical="center"/>
    </xf>
    <xf numFmtId="181" fontId="45" fillId="0" borderId="59" xfId="49" applyNumberFormat="1" applyFont="1" applyBorder="1">
      <alignment vertical="center"/>
    </xf>
    <xf numFmtId="181" fontId="45" fillId="0" borderId="59" xfId="49" applyNumberFormat="1" applyFont="1" applyFill="1" applyBorder="1">
      <alignment vertical="center"/>
    </xf>
    <xf numFmtId="9" fontId="50" fillId="0" borderId="0" xfId="3" applyNumberFormat="1" applyFont="1" applyFill="1" applyBorder="1" applyAlignment="1" applyProtection="1">
      <alignment vertical="center"/>
    </xf>
    <xf numFmtId="9" fontId="50" fillId="0" borderId="0" xfId="3" applyFont="1" applyFill="1" applyBorder="1" applyAlignment="1" applyProtection="1">
      <alignment vertical="center"/>
    </xf>
    <xf numFmtId="190" fontId="45" fillId="0" borderId="0" xfId="49" applyNumberFormat="1" applyFont="1" applyBorder="1">
      <alignment vertical="center"/>
    </xf>
    <xf numFmtId="0" fontId="45" fillId="0" borderId="0" xfId="53" applyFont="1" applyFill="1">
      <alignment vertical="center"/>
    </xf>
    <xf numFmtId="0" fontId="19" fillId="0" borderId="0" xfId="0" applyFont="1">
      <alignment vertical="center"/>
    </xf>
    <xf numFmtId="43" fontId="45" fillId="0" borderId="0" xfId="49" applyFont="1" applyFill="1" applyBorder="1">
      <alignment vertical="center"/>
    </xf>
    <xf numFmtId="188" fontId="48" fillId="12" borderId="0" xfId="53" applyNumberFormat="1" applyFont="1" applyFill="1">
      <alignment vertical="center"/>
    </xf>
    <xf numFmtId="188" fontId="47" fillId="12" borderId="0" xfId="53" applyNumberFormat="1" applyFont="1" applyFill="1" applyAlignment="1">
      <alignment horizontal="right" vertical="center"/>
    </xf>
    <xf numFmtId="191" fontId="51" fillId="0" borderId="0" xfId="53" applyNumberFormat="1" applyFont="1" applyAlignment="1">
      <alignment horizontal="left" vertical="center"/>
    </xf>
    <xf numFmtId="183" fontId="52" fillId="0" borderId="0" xfId="53" applyNumberFormat="1" applyFont="1">
      <alignment vertical="center"/>
    </xf>
    <xf numFmtId="188" fontId="53" fillId="0" borderId="0" xfId="53" applyNumberFormat="1" applyFont="1">
      <alignment vertical="center"/>
    </xf>
    <xf numFmtId="188" fontId="54" fillId="0" borderId="0" xfId="53" applyNumberFormat="1" applyFont="1">
      <alignment vertical="center"/>
    </xf>
    <xf numFmtId="192" fontId="55" fillId="0" borderId="0" xfId="53" applyNumberFormat="1" applyFont="1">
      <alignment vertical="center"/>
    </xf>
    <xf numFmtId="188" fontId="40" fillId="0" borderId="0" xfId="53" applyNumberFormat="1" applyFont="1">
      <alignment vertical="center"/>
    </xf>
    <xf numFmtId="185" fontId="40" fillId="0" borderId="0" xfId="1" applyNumberFormat="1" applyFont="1" applyBorder="1">
      <alignment vertical="center"/>
    </xf>
    <xf numFmtId="0" fontId="46" fillId="7" borderId="0" xfId="53" applyFont="1" applyFill="1" applyAlignment="1">
      <alignment horizontal="right" vertical="center"/>
    </xf>
    <xf numFmtId="0" fontId="46" fillId="0" borderId="0" xfId="53" applyFont="1" applyAlignment="1">
      <alignment horizontal="center" vertical="center"/>
    </xf>
    <xf numFmtId="0" fontId="45" fillId="0" borderId="0" xfId="53" applyFont="1" applyAlignment="1">
      <alignment horizontal="center" vertical="center"/>
    </xf>
    <xf numFmtId="181" fontId="45" fillId="0" borderId="0" xfId="1" applyNumberFormat="1" applyFont="1" applyBorder="1" applyAlignment="1">
      <alignment horizontal="center" vertical="center"/>
    </xf>
    <xf numFmtId="188" fontId="56" fillId="0" borderId="0" xfId="53" applyNumberFormat="1" applyFont="1">
      <alignment vertical="center"/>
    </xf>
    <xf numFmtId="183" fontId="46" fillId="0" borderId="0" xfId="53" applyNumberFormat="1" applyFont="1">
      <alignment vertical="center"/>
    </xf>
    <xf numFmtId="181" fontId="45" fillId="0" borderId="0" xfId="53" applyNumberFormat="1" applyFont="1">
      <alignment vertical="center"/>
    </xf>
    <xf numFmtId="193" fontId="46" fillId="0" borderId="0" xfId="1" applyNumberFormat="1" applyFont="1">
      <alignment vertical="center"/>
    </xf>
    <xf numFmtId="185" fontId="45" fillId="0" borderId="0" xfId="1" applyNumberFormat="1" applyFont="1" applyBorder="1" applyAlignment="1">
      <alignment horizontal="right" vertical="center"/>
    </xf>
    <xf numFmtId="192" fontId="45" fillId="0" borderId="0" xfId="53" applyNumberFormat="1" applyFont="1">
      <alignment vertical="center"/>
    </xf>
    <xf numFmtId="185" fontId="45" fillId="16" borderId="0" xfId="1" applyNumberFormat="1" applyFont="1" applyFill="1" applyBorder="1" applyAlignment="1">
      <alignment horizontal="right" vertical="center"/>
    </xf>
    <xf numFmtId="43" fontId="45" fillId="0" borderId="0" xfId="53" applyNumberFormat="1" applyFont="1">
      <alignment vertical="center"/>
    </xf>
    <xf numFmtId="10" fontId="45" fillId="7" borderId="0" xfId="3" applyNumberFormat="1" applyFont="1" applyFill="1">
      <alignment vertical="center"/>
    </xf>
    <xf numFmtId="9" fontId="45" fillId="0" borderId="0" xfId="53" applyNumberFormat="1" applyFont="1">
      <alignment vertical="center"/>
    </xf>
    <xf numFmtId="10" fontId="45" fillId="0" borderId="0" xfId="53" applyNumberFormat="1" applyFont="1">
      <alignment vertical="center"/>
    </xf>
    <xf numFmtId="9" fontId="45" fillId="0" borderId="0" xfId="3" applyFont="1">
      <alignment vertical="center"/>
    </xf>
    <xf numFmtId="194" fontId="45" fillId="0" borderId="0" xfId="1" applyNumberFormat="1" applyFont="1" applyBorder="1" applyAlignment="1">
      <alignment horizontal="right" vertical="center"/>
    </xf>
    <xf numFmtId="195" fontId="57" fillId="2" borderId="0" xfId="56" applyNumberFormat="1" applyFill="1">
      <protection locked="0"/>
    </xf>
    <xf numFmtId="195" fontId="58" fillId="2" borderId="0" xfId="56" applyNumberFormat="1" applyFont="1" applyFill="1">
      <protection locked="0"/>
    </xf>
    <xf numFmtId="195" fontId="59" fillId="2" borderId="0" xfId="56" applyNumberFormat="1" applyFont="1" applyFill="1">
      <protection locked="0"/>
    </xf>
    <xf numFmtId="195" fontId="60" fillId="2" borderId="0" xfId="56" applyNumberFormat="1" applyFont="1" applyFill="1" applyAlignment="1">
      <alignment horizontal="center"/>
      <protection locked="0"/>
    </xf>
    <xf numFmtId="195" fontId="59" fillId="2" borderId="0" xfId="56" applyNumberFormat="1" applyFont="1" applyFill="1" applyAlignment="1">
      <alignment horizontal="center"/>
      <protection locked="0"/>
    </xf>
    <xf numFmtId="185" fontId="57" fillId="2" borderId="0" xfId="1" applyNumberFormat="1" applyFont="1" applyFill="1" applyAlignment="1" applyProtection="1">
      <protection locked="0"/>
    </xf>
    <xf numFmtId="184" fontId="28" fillId="0" borderId="34" xfId="68" applyNumberFormat="1" applyFont="1" applyBorder="1" applyAlignment="1" quotePrefix="1">
      <alignment horizontal="right" vertical="center"/>
    </xf>
    <xf numFmtId="49" fontId="3" fillId="2" borderId="4" xfId="64" applyNumberFormat="1" applyFont="1" applyFill="1" applyBorder="1" applyAlignment="1" quotePrefix="1">
      <alignment horizontal="right" vertical="center"/>
    </xf>
    <xf numFmtId="49" fontId="3" fillId="3" borderId="5" xfId="64" applyNumberFormat="1" applyFont="1" applyFill="1" applyBorder="1" applyAlignment="1" quotePrefix="1">
      <alignment horizontal="right" vertical="center"/>
    </xf>
    <xf numFmtId="49" fontId="3" fillId="3" borderId="4" xfId="64" applyNumberFormat="1" applyFont="1" applyFill="1" applyBorder="1" applyAlignment="1" quotePrefix="1">
      <alignment horizontal="right" vertical="center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2" xfId="50"/>
    <cellStyle name="Comma 3" xfId="51"/>
    <cellStyle name="Comma 5 2" xfId="52"/>
    <cellStyle name="Normal 2" xfId="53"/>
    <cellStyle name="Normal 2 2" xfId="54"/>
    <cellStyle name="Normal 3" xfId="55"/>
    <cellStyle name="Normal 5" xfId="56"/>
    <cellStyle name="Percent 2" xfId="57"/>
    <cellStyle name="Percent 3" xfId="58"/>
    <cellStyle name="百分比 3" xfId="59"/>
    <cellStyle name="百分比 6" xfId="60"/>
    <cellStyle name="常规 10 2 12 2 2" xfId="61"/>
    <cellStyle name="常规 11" xfId="62"/>
    <cellStyle name="常规 2" xfId="63"/>
    <cellStyle name="常规 2 2" xfId="64"/>
    <cellStyle name="常规 2 2 3 2 2" xfId="65"/>
    <cellStyle name="常规 28" xfId="66"/>
    <cellStyle name="常规 3 2 2" xfId="67"/>
    <cellStyle name="常规 5 3 6" xfId="68"/>
    <cellStyle name="千位分隔 2" xfId="69"/>
    <cellStyle name="千位分隔 3 2 2" xfId="70"/>
    <cellStyle name="千位分隔 4" xfId="71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02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结果对比!$C$9</c:f>
              <c:strCache>
                <c:ptCount val="1"/>
                <c:pt idx="0">
                  <c:v>低端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065349450819169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841872737313616"/>
                  <c:y val="-0.0022703193582563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80076087623489"/>
                  <c:y val="0.006810958074769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结果对比!$D$8:$F$8</c:f>
              <c:strCache>
                <c:ptCount val="3"/>
                <c:pt idx="0" c:formatCode="_(* #,##0_);_(* \(#,##0\);_(* &quot;-&quot;_);@_)">
                  <c:v>可比P/E - 25年0.8亿利润</c:v>
                </c:pt>
                <c:pt idx="1" c:formatCode="_(* #,##0_);_(* \(#,##0\);_(* &quot;-&quot;_);@_)">
                  <c:v>可比P/E - 26年1.0亿利润</c:v>
                </c:pt>
                <c:pt idx="2" c:formatCode="_(* #,##0_);_(* \(#,##0\);_(* &quot;-&quot;_);@_)">
                  <c:v>DCF</c:v>
                </c:pt>
              </c:strCache>
            </c:strRef>
          </c:cat>
          <c:val>
            <c:numRef>
              <c:f>结果对比!$D$9:$F$9</c:f>
              <c:numCache>
                <c:formatCode>_ * #,##0.0_ ;_ * \-#,##0.0_ ;_ * "-"??_ ;_ @_ </c:formatCode>
                <c:ptCount val="3"/>
                <c:pt idx="0">
                  <c:v>10.4685035338105</c:v>
                </c:pt>
                <c:pt idx="1">
                  <c:v>12.8649079572129</c:v>
                </c:pt>
                <c:pt idx="2">
                  <c:v>10.6357365263121</c:v>
                </c:pt>
              </c:numCache>
            </c:numRef>
          </c:val>
        </c:ser>
        <c:ser>
          <c:idx val="1"/>
          <c:order val="1"/>
          <c:tx>
            <c:strRef>
              <c:f>结果对比!$C$10</c:f>
              <c:strCache>
                <c:ptCount val="1"/>
                <c:pt idx="0">
                  <c:v>增量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81321715653188"/>
                  <c:y val="-0.00802179506583926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/>
                      <a:t>29.5</a:t>
                    </a:r>
                    <a:endParaRPr lang="en-US" altLang="zh-C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19979137264527"/>
                  <c:y val="-0.00348115634932647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/>
                      <a:t>36.2</a:t>
                    </a:r>
                    <a:endParaRPr lang="en-US" altLang="zh-C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64754249248328"/>
                  <c:y val="-0.00332980172544271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/>
                      <a:t>29.6</a:t>
                    </a:r>
                    <a:endParaRPr lang="en-US" altLang="zh-C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结果对比!$D$8:$F$8</c:f>
              <c:strCache>
                <c:ptCount val="3"/>
                <c:pt idx="0" c:formatCode="_(* #,##0_);_(* \(#,##0\);_(* &quot;-&quot;_);@_)">
                  <c:v>可比P/E - 25年0.8亿利润</c:v>
                </c:pt>
                <c:pt idx="1" c:formatCode="_(* #,##0_);_(* \(#,##0\);_(* &quot;-&quot;_);@_)">
                  <c:v>可比P/E - 26年1.0亿利润</c:v>
                </c:pt>
                <c:pt idx="2" c:formatCode="_(* #,##0_);_(* \(#,##0\);_(* &quot;-&quot;_);@_)">
                  <c:v>DCF</c:v>
                </c:pt>
              </c:strCache>
            </c:strRef>
          </c:cat>
          <c:val>
            <c:numRef>
              <c:f>结果对比!$D$10:$F$10</c:f>
              <c:numCache>
                <c:formatCode>_ * #,##0.0_ ;_ * \-#,##0.0_ ;_ * "-"??_ ;_ @_ </c:formatCode>
                <c:ptCount val="3"/>
                <c:pt idx="0">
                  <c:v>18.9932977415975</c:v>
                </c:pt>
                <c:pt idx="1">
                  <c:v>23.3411610800355</c:v>
                </c:pt>
                <c:pt idx="2">
                  <c:v>11.8379514074797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7918367"/>
        <c:axId val="947924607"/>
      </c:barChart>
      <c:catAx>
        <c:axId val="94791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924607"/>
        <c:crosses val="autoZero"/>
        <c:auto val="1"/>
        <c:lblAlgn val="ctr"/>
        <c:lblOffset val="100"/>
        <c:noMultiLvlLbl val="0"/>
      </c:catAx>
      <c:valAx>
        <c:axId val="947924607"/>
        <c:scaling>
          <c:orientation val="minMax"/>
          <c:max val="50"/>
        </c:scaling>
        <c:delete val="0"/>
        <c:axPos val="b"/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91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834720-0350-4dc9-b598-5d48e14700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357505</xdr:colOff>
      <xdr:row>14</xdr:row>
      <xdr:rowOff>161290</xdr:rowOff>
    </xdr:from>
    <xdr:to>
      <xdr:col>9</xdr:col>
      <xdr:colOff>819468</xdr:colOff>
      <xdr:row>40</xdr:row>
      <xdr:rowOff>80327</xdr:rowOff>
    </xdr:to>
    <xdr:graphicFrame>
      <xdr:nvGraphicFramePr>
        <xdr:cNvPr id="2" name="图表 1"/>
        <xdr:cNvGraphicFramePr/>
      </xdr:nvGraphicFramePr>
      <xdr:xfrm>
        <a:off x="1607820" y="2507615"/>
        <a:ext cx="10086340" cy="4176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831850</xdr:colOff>
      <xdr:row>16</xdr:row>
      <xdr:rowOff>27305</xdr:rowOff>
    </xdr:from>
    <xdr:to>
      <xdr:col>4</xdr:col>
      <xdr:colOff>869950</xdr:colOff>
      <xdr:row>38</xdr:row>
      <xdr:rowOff>88265</xdr:rowOff>
    </xdr:to>
    <xdr:cxnSp>
      <xdr:nvCxnSpPr>
        <xdr:cNvPr id="3" name="Straight Connector 9"/>
        <xdr:cNvCxnSpPr/>
      </xdr:nvCxnSpPr>
      <xdr:spPr>
        <a:xfrm>
          <a:off x="5192395" y="2710180"/>
          <a:ext cx="38100" cy="3664585"/>
        </a:xfrm>
        <a:prstGeom prst="line">
          <a:avLst/>
        </a:prstGeom>
        <a:ln w="19050" cap="flat" cmpd="sng" algn="ctr">
          <a:solidFill>
            <a:srgbClr val="C0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C6:I30"/>
  <sheetViews>
    <sheetView showGridLines="0" zoomScaleSheetLayoutView="70" workbookViewId="0">
      <selection activeCell="D11" sqref="D11"/>
    </sheetView>
  </sheetViews>
  <sheetFormatPr defaultColWidth="8.9" defaultRowHeight="12.5"/>
  <cols>
    <col min="1" max="1" width="17.9" style="319" customWidth="1"/>
    <col min="2" max="2" width="8.45454545454546" style="319" customWidth="1"/>
    <col min="3" max="3" width="10.9" style="319" customWidth="1"/>
    <col min="4" max="5" width="25.1727272727273" style="319" customWidth="1"/>
    <col min="6" max="7" width="20.0909090909091" style="319" customWidth="1"/>
    <col min="8" max="8" width="12.4545454545455" style="319" customWidth="1"/>
    <col min="9" max="9" width="15.4545454545455" style="319" customWidth="1"/>
    <col min="10" max="10" width="12.9" style="319" customWidth="1"/>
    <col min="11" max="11" width="8.45454545454546" style="319" customWidth="1"/>
    <col min="12" max="16384" width="8.9" style="319"/>
  </cols>
  <sheetData>
    <row r="6" ht="14.25" customHeight="1"/>
    <row r="7" ht="13.5" customHeight="1" spans="3:9">
      <c r="G7" s="320"/>
      <c r="H7" s="320"/>
      <c r="I7" s="320"/>
    </row>
    <row r="8" ht="13" spans="3:9">
      <c r="C8" s="321" t="s">
        <v>0</v>
      </c>
      <c r="D8" s="322" t="s">
        <v>1</v>
      </c>
      <c r="E8" s="322" t="s">
        <v>2</v>
      </c>
      <c r="F8" s="323" t="s">
        <v>3</v>
      </c>
    </row>
    <row r="9" ht="14.5" customHeight="1" spans="3:9">
      <c r="C9" s="321" t="s">
        <v>4</v>
      </c>
      <c r="D9" s="324">
        <f>市场法!E24</f>
        <v>10.4685035338105</v>
      </c>
      <c r="E9" s="324">
        <f>1.02/0.83*D9</f>
        <v>12.8649079572129</v>
      </c>
      <c r="F9" s="324">
        <f>DCF!F43</f>
        <v>10.6357365263121</v>
      </c>
    </row>
    <row r="10" ht="13" outlineLevel="1" spans="3:9">
      <c r="C10" s="320" t="s">
        <v>5</v>
      </c>
      <c r="D10" s="324">
        <f>D11-D9</f>
        <v>18.9932977415975</v>
      </c>
      <c r="E10" s="324">
        <f>E11-E9</f>
        <v>23.3411610800355</v>
      </c>
      <c r="F10" s="324">
        <f>F11-F9</f>
        <v>11.8379514074797</v>
      </c>
    </row>
    <row r="11" ht="13.5" customHeight="1" spans="3:9">
      <c r="C11" s="321" t="s">
        <v>6</v>
      </c>
      <c r="D11" s="324">
        <f>市场法!F24</f>
        <v>29.461801275408</v>
      </c>
      <c r="E11" s="324">
        <f>1.02/0.83*D11</f>
        <v>36.2060690372484</v>
      </c>
      <c r="F11" s="324">
        <f>DCF!H45</f>
        <v>22.4736879337917</v>
      </c>
    </row>
    <row r="12" ht="13.5" customHeight="1"/>
    <row r="13" ht="13.5" customHeight="1"/>
    <row r="14" ht="13.5" customHeight="1"/>
    <row r="15" ht="13.5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7" ht="14.25" customHeight="1"/>
    <row r="29" ht="14.25" customHeight="1"/>
    <row r="30" ht="14.25" customHeight="1"/>
  </sheetData>
  <pageMargins left="0.7" right="0.7" top="0.75" bottom="0.75" header="0.3" footer="0.3"/>
  <pageSetup paperSize="1" scale="2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T87"/>
  <sheetViews>
    <sheetView zoomScale="86" zoomScaleNormal="86" workbookViewId="0">
      <selection activeCell="M43" sqref="M43"/>
    </sheetView>
  </sheetViews>
  <sheetFormatPr defaultColWidth="8.72727272727273" defaultRowHeight="14"/>
  <cols>
    <col min="1" max="1" width="8.72727272727273" style="271"/>
    <col min="2" max="2" width="27.1727272727273" style="271" customWidth="1"/>
    <col min="3" max="3" width="11.8181818181818" style="271"/>
    <col min="4" max="5" width="10.4545454545455" style="271"/>
    <col min="6" max="6" width="10.6363636363636" style="271"/>
    <col min="7" max="7" width="14.2636363636364" style="271"/>
    <col min="8" max="8" width="11.6363636363636" style="271"/>
    <col min="9" max="9" width="10.4545454545455" style="271" customWidth="1"/>
    <col min="10" max="10" width="12.9" style="271"/>
    <col min="11" max="11" width="8.72727272727273" style="271" customWidth="1"/>
    <col min="12" max="12" width="12.0454545454545" style="271" customWidth="1"/>
    <col min="13" max="13" width="14.6363636363636" style="271" customWidth="1"/>
    <col min="14" max="16384" width="8.72727272727273" style="271"/>
  </cols>
  <sheetData>
    <row r="1" spans="1:19">
      <c r="A1" s="272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</row>
    <row r="2" ht="15.5" spans="1:19">
      <c r="A2" s="272"/>
      <c r="B2" s="273" t="s">
        <v>7</v>
      </c>
      <c r="C2" s="272" t="s">
        <v>8</v>
      </c>
      <c r="D2" s="272"/>
      <c r="E2" s="272"/>
      <c r="F2" s="272">
        <v>57800</v>
      </c>
      <c r="G2" s="272">
        <v>73500</v>
      </c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</row>
    <row r="3" ht="15.5" spans="1:19">
      <c r="A3" s="272"/>
      <c r="B3" s="273" t="s">
        <v>9</v>
      </c>
      <c r="C3" s="274">
        <v>46097</v>
      </c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</row>
    <row r="4" spans="1:19">
      <c r="A4" s="272"/>
      <c r="B4" s="272"/>
      <c r="C4" s="274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</row>
    <row r="5" ht="15.5" spans="1:19">
      <c r="A5" s="273"/>
      <c r="B5" s="275" t="s">
        <v>10</v>
      </c>
      <c r="C5" s="276" t="s">
        <v>11</v>
      </c>
      <c r="D5" s="276" t="s">
        <v>12</v>
      </c>
      <c r="E5" s="276" t="s">
        <v>13</v>
      </c>
      <c r="F5" s="276" t="s">
        <v>14</v>
      </c>
      <c r="G5" s="276" t="s">
        <v>15</v>
      </c>
      <c r="H5" s="276" t="s">
        <v>16</v>
      </c>
      <c r="I5" s="276" t="s">
        <v>17</v>
      </c>
      <c r="J5" s="272" t="s">
        <v>18</v>
      </c>
      <c r="L5" s="276" t="s">
        <v>11</v>
      </c>
      <c r="M5" s="276" t="s">
        <v>12</v>
      </c>
      <c r="N5" s="276" t="s">
        <v>13</v>
      </c>
      <c r="O5" s="276" t="s">
        <v>14</v>
      </c>
      <c r="P5" s="276" t="s">
        <v>15</v>
      </c>
      <c r="Q5" s="276" t="s">
        <v>16</v>
      </c>
      <c r="R5" s="276" t="s">
        <v>17</v>
      </c>
    </row>
    <row r="6" ht="15.5" spans="1:19">
      <c r="A6" s="272"/>
      <c r="B6" s="272" t="s">
        <v>19</v>
      </c>
      <c r="C6" s="277">
        <f>锐洁利润表!B3</f>
        <v>37320.2010400001</v>
      </c>
      <c r="D6" s="277">
        <f>锐洁利润表!M3/10</f>
        <v>43221.541802</v>
      </c>
      <c r="E6" s="278">
        <f>锐洁利润表!D3</f>
        <v>57800</v>
      </c>
      <c r="F6" s="278">
        <f>锐洁利润表!F3</f>
        <v>73500</v>
      </c>
      <c r="G6" s="277">
        <f t="shared" ref="G6:I6" si="0">F6*(1+G7)</f>
        <v>91875</v>
      </c>
      <c r="H6" s="277">
        <f t="shared" si="0"/>
        <v>114843.75</v>
      </c>
      <c r="I6" s="277">
        <f>D6*(1+J7)^5</f>
        <v>131901.677862549</v>
      </c>
      <c r="J6" s="277"/>
      <c r="L6" s="279">
        <f t="shared" ref="L6:R6" si="1">C6/C$6</f>
        <v>1</v>
      </c>
      <c r="M6" s="279">
        <f t="shared" si="1"/>
        <v>1</v>
      </c>
      <c r="N6" s="279">
        <f t="shared" si="1"/>
        <v>1</v>
      </c>
      <c r="O6" s="279">
        <f t="shared" si="1"/>
        <v>1</v>
      </c>
      <c r="P6" s="279">
        <f t="shared" si="1"/>
        <v>1</v>
      </c>
      <c r="Q6" s="279">
        <f t="shared" si="1"/>
        <v>1</v>
      </c>
      <c r="R6" s="279">
        <f t="shared" si="1"/>
        <v>1</v>
      </c>
    </row>
    <row r="7" spans="1:19">
      <c r="A7" s="272"/>
      <c r="B7" s="280" t="s">
        <v>20</v>
      </c>
      <c r="C7" s="281"/>
      <c r="D7" s="281">
        <f>D6/C6-1</f>
        <v>0.158127250056204</v>
      </c>
      <c r="E7" s="281">
        <f>E6/D6-1</f>
        <v>0.337296116477858</v>
      </c>
      <c r="F7" s="281">
        <f>F6/E6-1</f>
        <v>0.271626297577855</v>
      </c>
      <c r="G7" s="282">
        <v>0.25</v>
      </c>
      <c r="H7" s="283">
        <v>0.25</v>
      </c>
      <c r="I7" s="283">
        <v>0.2</v>
      </c>
      <c r="J7" s="283">
        <v>0.25</v>
      </c>
      <c r="L7" s="279"/>
      <c r="M7" s="279"/>
      <c r="N7" s="279"/>
      <c r="O7" s="279"/>
      <c r="P7" s="279"/>
      <c r="Q7" s="279"/>
      <c r="R7" s="279"/>
    </row>
    <row r="8" ht="15.5" spans="1:19">
      <c r="A8" s="272"/>
      <c r="B8" s="272" t="s">
        <v>21</v>
      </c>
      <c r="C8" s="277">
        <f>锐洁利润表!B10</f>
        <v>-21536.0155792655</v>
      </c>
      <c r="D8" s="277">
        <f>锐洁利润表!C10</f>
        <v>-24514.4964169138</v>
      </c>
      <c r="E8" s="278">
        <f>锐洁利润表!D10</f>
        <v>-33524</v>
      </c>
      <c r="F8" s="278">
        <f>锐洁利润表!F10</f>
        <v>-43365</v>
      </c>
      <c r="G8" s="278">
        <f t="shared" ref="G8:I8" si="2">G9-G6</f>
        <v>-54206.25</v>
      </c>
      <c r="H8" s="278">
        <f t="shared" si="2"/>
        <v>-67757.8125</v>
      </c>
      <c r="I8" s="278">
        <f t="shared" si="2"/>
        <v>-77821.9899389038</v>
      </c>
      <c r="J8" s="283"/>
      <c r="L8" s="279">
        <f t="shared" ref="L8:R8" si="3">C8/C$6</f>
        <v>-0.577060545739907</v>
      </c>
      <c r="M8" s="279">
        <f t="shared" si="3"/>
        <v>-0.567182367746526</v>
      </c>
      <c r="N8" s="279">
        <f t="shared" si="3"/>
        <v>-0.58</v>
      </c>
      <c r="O8" s="279">
        <f t="shared" si="3"/>
        <v>-0.59</v>
      </c>
      <c r="P8" s="279">
        <f t="shared" si="3"/>
        <v>-0.59</v>
      </c>
      <c r="Q8" s="279">
        <f t="shared" si="3"/>
        <v>-0.59</v>
      </c>
      <c r="R8" s="279">
        <f t="shared" si="3"/>
        <v>-0.59</v>
      </c>
    </row>
    <row r="9" ht="15.5" spans="1:19">
      <c r="A9" s="272"/>
      <c r="B9" s="284" t="s">
        <v>22</v>
      </c>
      <c r="C9" s="285">
        <f>锐洁利润表!L5/10</f>
        <v>15784.1854607345</v>
      </c>
      <c r="D9" s="285">
        <f>锐洁利润表!M5/10</f>
        <v>18707.0453619878</v>
      </c>
      <c r="E9" s="286">
        <f>E6*锐洁利润表!D16</f>
        <v>24276</v>
      </c>
      <c r="F9" s="286">
        <f>F6*锐洁利润表!F16</f>
        <v>30135</v>
      </c>
      <c r="G9" s="285">
        <f>G6*P9</f>
        <v>37668.75</v>
      </c>
      <c r="H9" s="285">
        <f>H6*Q9</f>
        <v>47085.9375</v>
      </c>
      <c r="I9" s="285">
        <f>I6*R9</f>
        <v>54079.687923645</v>
      </c>
      <c r="J9" s="277"/>
      <c r="L9" s="279">
        <f>C9/C$6</f>
        <v>0.42293945426009</v>
      </c>
      <c r="M9" s="279">
        <f>D9/D$6</f>
        <v>0.432817631719056</v>
      </c>
      <c r="N9" s="279">
        <f>E9/E$6</f>
        <v>0.42</v>
      </c>
      <c r="O9" s="279">
        <f>F9/F$6</f>
        <v>0.41</v>
      </c>
      <c r="P9" s="287">
        <v>0.41</v>
      </c>
      <c r="Q9" s="287">
        <v>0.41</v>
      </c>
      <c r="R9" s="287">
        <v>0.41</v>
      </c>
    </row>
    <row r="10" ht="15.5" spans="1:19">
      <c r="A10" s="272"/>
      <c r="B10" s="272" t="s">
        <v>23</v>
      </c>
      <c r="C10" s="277">
        <f>锐洁利润表!L6/10</f>
        <v>-31.241087</v>
      </c>
      <c r="D10" s="277">
        <f>锐洁利润表!M6/10</f>
        <v>-225.243899</v>
      </c>
      <c r="E10" s="278"/>
      <c r="F10" s="278"/>
      <c r="G10" s="281"/>
      <c r="H10" s="281"/>
      <c r="I10" s="281"/>
      <c r="J10" s="281"/>
      <c r="L10" s="279">
        <f t="shared" ref="L10:R10" si="4">C10/C$6</f>
        <v>-0.00083710929012723</v>
      </c>
      <c r="M10" s="279">
        <f t="shared" si="4"/>
        <v>-0.00521138047392787</v>
      </c>
      <c r="N10" s="279">
        <f t="shared" si="4"/>
        <v>0</v>
      </c>
      <c r="O10" s="279">
        <f t="shared" si="4"/>
        <v>0</v>
      </c>
      <c r="P10" s="279">
        <f t="shared" si="4"/>
        <v>0</v>
      </c>
      <c r="Q10" s="279">
        <f t="shared" si="4"/>
        <v>0</v>
      </c>
      <c r="R10" s="279">
        <f t="shared" si="4"/>
        <v>0</v>
      </c>
    </row>
    <row r="11" ht="15.5" spans="1:19">
      <c r="A11" s="272"/>
      <c r="B11" s="272" t="s">
        <v>24</v>
      </c>
      <c r="C11" s="277">
        <f>锐洁利润表!L7/10</f>
        <v>-1602.435456</v>
      </c>
      <c r="D11" s="277">
        <f>锐洁利润表!M7/10</f>
        <v>-2100.940637</v>
      </c>
      <c r="E11" s="278">
        <f>锐洁利润表!D18</f>
        <v>-3179</v>
      </c>
      <c r="F11" s="278">
        <f>锐洁利润表!F18</f>
        <v>-4042.5</v>
      </c>
      <c r="G11" s="277">
        <f>G6*P11</f>
        <v>-4593.75</v>
      </c>
      <c r="H11" s="277">
        <f>H6*Q11</f>
        <v>-4593.75</v>
      </c>
      <c r="I11" s="277">
        <f>I6*R11</f>
        <v>-5276.06711450195</v>
      </c>
      <c r="J11" s="277"/>
      <c r="L11" s="279">
        <f>C11/C$6</f>
        <v>-0.0429374818823322</v>
      </c>
      <c r="M11" s="279">
        <f>D11/D$6</f>
        <v>-0.0486086462770003</v>
      </c>
      <c r="N11" s="279">
        <f>E11/E$6</f>
        <v>-0.055</v>
      </c>
      <c r="O11" s="279">
        <f>F11/F$6</f>
        <v>-0.055</v>
      </c>
      <c r="P11" s="287">
        <v>-0.05</v>
      </c>
      <c r="Q11" s="287">
        <v>-0.04</v>
      </c>
      <c r="R11" s="287">
        <v>-0.04</v>
      </c>
    </row>
    <row r="12" ht="15.5" spans="1:19">
      <c r="A12" s="272"/>
      <c r="B12" s="272" t="s">
        <v>25</v>
      </c>
      <c r="C12" s="277">
        <f>锐洁利润表!L8/10</f>
        <v>-1767.58328</v>
      </c>
      <c r="D12" s="277">
        <f>锐洁利润表!M8/10</f>
        <v>-2159.028609</v>
      </c>
      <c r="E12" s="278">
        <f>锐洁利润表!D19</f>
        <v>-3468</v>
      </c>
      <c r="F12" s="278">
        <f>锐洁利润表!F19</f>
        <v>-4410</v>
      </c>
      <c r="G12" s="277">
        <f>G6*P12</f>
        <v>-5512.5</v>
      </c>
      <c r="H12" s="277">
        <f>H6*Q12</f>
        <v>-6890.625</v>
      </c>
      <c r="I12" s="277">
        <f>I6*R12</f>
        <v>-7914.10067175293</v>
      </c>
      <c r="J12" s="277"/>
      <c r="L12" s="279">
        <f>C12/C$6</f>
        <v>-0.0473626408953556</v>
      </c>
      <c r="M12" s="279">
        <f>D12/D$6</f>
        <v>-0.0499526050896244</v>
      </c>
      <c r="N12" s="279">
        <f>E12/E$6</f>
        <v>-0.06</v>
      </c>
      <c r="O12" s="279">
        <f>F12/F$6</f>
        <v>-0.06</v>
      </c>
      <c r="P12" s="288">
        <v>-0.06</v>
      </c>
      <c r="Q12" s="288">
        <v>-0.06</v>
      </c>
      <c r="R12" s="288">
        <v>-0.06</v>
      </c>
    </row>
    <row r="13" ht="15.5" spans="1:19">
      <c r="A13" s="272"/>
      <c r="B13" s="272" t="s">
        <v>26</v>
      </c>
      <c r="C13" s="277">
        <f>锐洁利润表!L9/10</f>
        <v>-4380.307241</v>
      </c>
      <c r="D13" s="277">
        <f>锐洁利润表!M9/10</f>
        <v>-5619.290681</v>
      </c>
      <c r="E13" s="278">
        <f>锐洁利润表!D20</f>
        <v>-6473.6</v>
      </c>
      <c r="F13" s="278">
        <f>锐洁利润表!F20</f>
        <v>-8305.5</v>
      </c>
      <c r="G13" s="277">
        <f>G6*P13</f>
        <v>-9187.5</v>
      </c>
      <c r="H13" s="277">
        <f>H6*Q13</f>
        <v>-9761.71875</v>
      </c>
      <c r="I13" s="277">
        <f>I6*R13</f>
        <v>-9233.11745037842</v>
      </c>
      <c r="J13" s="277"/>
      <c r="L13" s="279">
        <f>C13/C$6</f>
        <v>-0.117370944392962</v>
      </c>
      <c r="M13" s="279">
        <f>D13/D$6</f>
        <v>-0.130011342648123</v>
      </c>
      <c r="N13" s="279">
        <f>E13/E$6</f>
        <v>-0.112</v>
      </c>
      <c r="O13" s="279">
        <f>F13/F$6</f>
        <v>-0.113</v>
      </c>
      <c r="P13" s="288">
        <v>-0.1</v>
      </c>
      <c r="Q13" s="287">
        <v>-0.085</v>
      </c>
      <c r="R13" s="287">
        <v>-0.07</v>
      </c>
    </row>
    <row r="14" ht="15.5" spans="1:19">
      <c r="A14" s="272"/>
      <c r="B14" s="272" t="s">
        <v>27</v>
      </c>
      <c r="C14" s="278"/>
      <c r="D14" s="278"/>
      <c r="E14" s="278"/>
      <c r="F14" s="278"/>
      <c r="G14" s="277"/>
      <c r="H14" s="272"/>
      <c r="I14" s="272"/>
      <c r="J14" s="272"/>
      <c r="L14" s="279"/>
      <c r="M14" s="279"/>
      <c r="N14" s="279"/>
      <c r="O14" s="279"/>
      <c r="P14" s="279"/>
      <c r="Q14" s="279"/>
      <c r="R14" s="279"/>
    </row>
    <row r="15" ht="15.5" spans="1:19">
      <c r="A15" s="272"/>
      <c r="B15" s="284" t="s">
        <v>28</v>
      </c>
      <c r="C15" s="285">
        <f>锐洁利润表!L13/10</f>
        <v>8934.6314227845</v>
      </c>
      <c r="D15" s="285">
        <f>锐洁利润表!M13/10</f>
        <v>9118.8220962378</v>
      </c>
      <c r="E15" s="285">
        <f>SUM(E9:E14)</f>
        <v>11155.4</v>
      </c>
      <c r="F15" s="285">
        <f>SUM(F9:F14)</f>
        <v>13377</v>
      </c>
      <c r="G15" s="285">
        <f t="shared" ref="F15:I15" si="5">SUM(G9:G14)</f>
        <v>18375</v>
      </c>
      <c r="H15" s="285">
        <f t="shared" si="5"/>
        <v>25839.84375</v>
      </c>
      <c r="I15" s="285">
        <f t="shared" si="5"/>
        <v>31656.4026870117</v>
      </c>
      <c r="J15" s="277"/>
      <c r="L15" s="279">
        <f t="shared" ref="L15:R15" si="6">C15/C$6</f>
        <v>0.239404697022084</v>
      </c>
      <c r="M15" s="279">
        <f t="shared" si="6"/>
        <v>0.210978639725801</v>
      </c>
      <c r="N15" s="279">
        <f t="shared" si="6"/>
        <v>0.193</v>
      </c>
      <c r="O15" s="279">
        <f t="shared" si="6"/>
        <v>0.182</v>
      </c>
      <c r="P15" s="288">
        <f t="shared" si="6"/>
        <v>0.2</v>
      </c>
      <c r="Q15" s="288">
        <f t="shared" si="6"/>
        <v>0.225</v>
      </c>
      <c r="R15" s="288">
        <f t="shared" si="6"/>
        <v>0.24</v>
      </c>
    </row>
    <row r="16" ht="15.5" spans="1:19">
      <c r="A16" s="272"/>
      <c r="B16" s="272" t="s">
        <v>29</v>
      </c>
      <c r="C16" s="277">
        <f>锐洁利润表!L17/10</f>
        <v>-1025.975664</v>
      </c>
      <c r="D16" s="277">
        <f>锐洁利润表!M17/10</f>
        <v>-468.298939</v>
      </c>
      <c r="E16" s="278">
        <f>E17-E15</f>
        <v>-937.199999999999</v>
      </c>
      <c r="F16" s="289">
        <f>-F15*0.15</f>
        <v>-2006.55</v>
      </c>
      <c r="G16" s="289">
        <f t="shared" ref="G16:I16" si="7">-G15*0.15</f>
        <v>-2756.25</v>
      </c>
      <c r="H16" s="289">
        <f t="shared" si="7"/>
        <v>-3875.9765625</v>
      </c>
      <c r="I16" s="289">
        <f t="shared" si="7"/>
        <v>-4748.46040305176</v>
      </c>
      <c r="J16" s="289"/>
      <c r="L16" s="279">
        <f t="shared" ref="L16:R16" si="8">C16/C$6</f>
        <v>-0.0274911612319653</v>
      </c>
      <c r="M16" s="279">
        <f t="shared" si="8"/>
        <v>-0.0108348503888478</v>
      </c>
      <c r="N16" s="279">
        <f t="shared" si="8"/>
        <v>-0.0162145328719723</v>
      </c>
      <c r="O16" s="279">
        <f t="shared" si="8"/>
        <v>-0.0273</v>
      </c>
      <c r="P16" s="288">
        <f t="shared" si="8"/>
        <v>-0.03</v>
      </c>
      <c r="Q16" s="288">
        <f t="shared" si="8"/>
        <v>-0.03375</v>
      </c>
      <c r="R16" s="288">
        <f t="shared" si="8"/>
        <v>-0.036</v>
      </c>
    </row>
    <row r="17" ht="15.5" spans="1:20">
      <c r="A17" s="272"/>
      <c r="B17" s="284" t="s">
        <v>30</v>
      </c>
      <c r="C17" s="285">
        <f>锐洁利润表!B22</f>
        <v>7911.52877278448</v>
      </c>
      <c r="D17" s="285">
        <f>锐洁利润表!C22</f>
        <v>8326.07072923782</v>
      </c>
      <c r="E17" s="286">
        <f>锐洁利润表!D22</f>
        <v>10218.2</v>
      </c>
      <c r="F17" s="286">
        <f>锐洁利润表!F22</f>
        <v>12163</v>
      </c>
      <c r="G17" s="285">
        <f>G15+G16</f>
        <v>15618.75</v>
      </c>
      <c r="H17" s="285">
        <f>H15+H16</f>
        <v>21963.8671875</v>
      </c>
      <c r="I17" s="285">
        <f>I15+I16</f>
        <v>26907.94228396</v>
      </c>
      <c r="J17" s="277"/>
      <c r="L17" s="279">
        <f t="shared" ref="L17:R17" si="9">C17/C$6</f>
        <v>0.21199051860157</v>
      </c>
      <c r="M17" s="279">
        <f t="shared" si="9"/>
        <v>0.192637059718507</v>
      </c>
      <c r="N17" s="279">
        <f t="shared" si="9"/>
        <v>0.176785467128028</v>
      </c>
      <c r="O17" s="279">
        <f t="shared" si="9"/>
        <v>0.165482993197279</v>
      </c>
      <c r="P17" s="288">
        <f t="shared" si="9"/>
        <v>0.17</v>
      </c>
      <c r="Q17" s="288">
        <f t="shared" si="9"/>
        <v>0.19125</v>
      </c>
      <c r="R17" s="288">
        <f t="shared" si="9"/>
        <v>0.204</v>
      </c>
    </row>
    <row r="18" ht="15.5" spans="1:20">
      <c r="A18" s="272"/>
      <c r="B18" s="273" t="s">
        <v>31</v>
      </c>
      <c r="C18" s="277">
        <v>-266.17477</v>
      </c>
      <c r="D18" s="277">
        <v>-1178.101505</v>
      </c>
      <c r="E18" s="277">
        <v>-1000</v>
      </c>
      <c r="F18" s="277">
        <v>-1000</v>
      </c>
      <c r="G18" s="277">
        <v>-1000</v>
      </c>
      <c r="H18" s="277">
        <v>-1000</v>
      </c>
      <c r="I18" s="277">
        <v>-1000</v>
      </c>
      <c r="J18" s="290"/>
      <c r="L18" s="279"/>
      <c r="M18" s="279"/>
      <c r="N18" s="279"/>
      <c r="O18" s="279"/>
      <c r="P18" s="279"/>
      <c r="Q18" s="279"/>
      <c r="R18" s="279"/>
    </row>
    <row r="19" ht="15.5" spans="1:20">
      <c r="A19" s="272"/>
      <c r="B19" s="273" t="s">
        <v>32</v>
      </c>
      <c r="C19" s="278"/>
      <c r="D19" s="278"/>
      <c r="E19" s="278"/>
      <c r="F19" s="278"/>
      <c r="G19" s="277"/>
      <c r="H19" s="272"/>
      <c r="I19" s="272"/>
      <c r="J19" s="272"/>
      <c r="L19" s="279"/>
      <c r="M19" s="279"/>
      <c r="N19" s="279"/>
      <c r="O19" s="279"/>
      <c r="P19" s="279"/>
      <c r="Q19" s="279"/>
      <c r="R19" s="279"/>
    </row>
    <row r="20" ht="15.5" spans="1:20">
      <c r="A20" s="272"/>
      <c r="B20" s="272" t="s">
        <v>33</v>
      </c>
      <c r="C20" s="278">
        <v>22387.5299717845</v>
      </c>
      <c r="D20" s="278">
        <v>29786.9834688898</v>
      </c>
      <c r="E20" s="278">
        <f t="shared" ref="E20:I20" si="10">E6*(120/360)+(30/360)*E8-(250/360)*E8</f>
        <v>39753.5555555555</v>
      </c>
      <c r="F20" s="278">
        <f t="shared" si="10"/>
        <v>51000.8333333333</v>
      </c>
      <c r="G20" s="278">
        <f t="shared" si="10"/>
        <v>63751.0416666667</v>
      </c>
      <c r="H20" s="278">
        <f t="shared" si="10"/>
        <v>79688.8020833333</v>
      </c>
      <c r="I20" s="278">
        <f t="shared" si="10"/>
        <v>91525.1086946242</v>
      </c>
      <c r="J20" s="278"/>
      <c r="L20" s="279">
        <f t="shared" ref="L20:R20" si="11">C20/C$6</f>
        <v>0.599876992832631</v>
      </c>
      <c r="M20" s="279">
        <f t="shared" si="11"/>
        <v>0.689169849732465</v>
      </c>
      <c r="N20" s="279">
        <f t="shared" si="11"/>
        <v>0.687777777777778</v>
      </c>
      <c r="O20" s="279">
        <f t="shared" si="11"/>
        <v>0.693888888888889</v>
      </c>
      <c r="P20" s="279">
        <f t="shared" si="11"/>
        <v>0.693888888888889</v>
      </c>
      <c r="Q20" s="279">
        <f t="shared" si="11"/>
        <v>0.693888888888889</v>
      </c>
      <c r="R20" s="279">
        <f t="shared" si="11"/>
        <v>0.693888888888889</v>
      </c>
      <c r="S20" s="291" t="s">
        <v>34</v>
      </c>
    </row>
    <row r="21" ht="15.5" spans="1:20">
      <c r="A21" s="272"/>
      <c r="B21" s="273" t="s">
        <v>35</v>
      </c>
      <c r="C21" s="277">
        <v>2090.989891</v>
      </c>
      <c r="D21" s="278">
        <f t="shared" ref="D21:I21" si="12">-(D20-C20)</f>
        <v>-7399.4534971053</v>
      </c>
      <c r="E21" s="278">
        <f t="shared" si="12"/>
        <v>-9966.57208666575</v>
      </c>
      <c r="F21" s="278">
        <f t="shared" si="12"/>
        <v>-11247.2777777778</v>
      </c>
      <c r="G21" s="278">
        <f t="shared" si="12"/>
        <v>-12750.2083333333</v>
      </c>
      <c r="H21" s="278">
        <f t="shared" si="12"/>
        <v>-15937.7604166667</v>
      </c>
      <c r="I21" s="278">
        <f t="shared" si="12"/>
        <v>-11836.3066112909</v>
      </c>
      <c r="J21" s="278"/>
      <c r="L21" s="272"/>
      <c r="M21" s="279"/>
      <c r="N21" s="279"/>
      <c r="O21" s="279"/>
      <c r="P21" s="279"/>
      <c r="Q21" s="279"/>
      <c r="R21" s="279"/>
      <c r="S21" s="279"/>
      <c r="T21" s="279"/>
    </row>
    <row r="22" ht="15.5" spans="1:20">
      <c r="A22" s="272"/>
      <c r="B22" s="272" t="s">
        <v>36</v>
      </c>
      <c r="C22" s="278">
        <f>C17+C18+C19+C21</f>
        <v>9736.34389378448</v>
      </c>
      <c r="D22" s="278">
        <f t="shared" ref="D22:I22" si="13">D17+D18+D19+D21</f>
        <v>-251.484272867481</v>
      </c>
      <c r="E22" s="278">
        <f t="shared" si="13"/>
        <v>-748.372086665746</v>
      </c>
      <c r="F22" s="278">
        <f t="shared" si="13"/>
        <v>-84.277777777781</v>
      </c>
      <c r="G22" s="278">
        <f t="shared" si="13"/>
        <v>1868.54166666666</v>
      </c>
      <c r="H22" s="278">
        <f t="shared" si="13"/>
        <v>5026.10677083334</v>
      </c>
      <c r="I22" s="278">
        <f t="shared" si="13"/>
        <v>14071.6356726691</v>
      </c>
      <c r="J22" s="278"/>
      <c r="L22" s="272"/>
      <c r="M22" s="279"/>
      <c r="N22" s="279"/>
      <c r="O22" s="279"/>
      <c r="P22" s="279"/>
      <c r="Q22" s="279"/>
      <c r="R22" s="279"/>
      <c r="S22" s="279"/>
      <c r="T22" s="279"/>
    </row>
    <row r="23" ht="15.5" spans="1:20">
      <c r="A23" s="272"/>
      <c r="B23" s="272" t="s">
        <v>37</v>
      </c>
      <c r="C23" s="278">
        <v>1</v>
      </c>
      <c r="D23" s="278">
        <v>2</v>
      </c>
      <c r="E23" s="278">
        <v>3</v>
      </c>
      <c r="F23" s="278">
        <v>4</v>
      </c>
      <c r="G23" s="278">
        <v>5</v>
      </c>
      <c r="H23" s="278">
        <v>6</v>
      </c>
      <c r="I23" s="278">
        <v>7</v>
      </c>
      <c r="J23" s="278"/>
      <c r="L23" s="272"/>
      <c r="M23" s="279"/>
      <c r="N23" s="279"/>
      <c r="O23" s="279"/>
      <c r="P23" s="279"/>
      <c r="Q23" s="279"/>
      <c r="R23" s="279"/>
      <c r="S23" s="279"/>
      <c r="T23" s="279"/>
    </row>
    <row r="24" ht="15.5" spans="1:20">
      <c r="A24" s="272"/>
      <c r="B24" s="272" t="s">
        <v>38</v>
      </c>
      <c r="C24" s="292">
        <f t="shared" ref="C24:I24" si="14">1/(1+$C$28)^C23</f>
        <v>0.769230769230769</v>
      </c>
      <c r="D24" s="292">
        <f t="shared" si="14"/>
        <v>0.591715976331361</v>
      </c>
      <c r="E24" s="292">
        <f t="shared" si="14"/>
        <v>0.455166135639508</v>
      </c>
      <c r="F24" s="292">
        <f t="shared" si="14"/>
        <v>0.350127796645776</v>
      </c>
      <c r="G24" s="292">
        <f t="shared" si="14"/>
        <v>0.269329074342904</v>
      </c>
      <c r="H24" s="292">
        <f t="shared" si="14"/>
        <v>0.207176211033003</v>
      </c>
      <c r="I24" s="292">
        <f t="shared" si="14"/>
        <v>0.159366316179233</v>
      </c>
      <c r="J24" s="292"/>
      <c r="L24" s="272"/>
      <c r="M24" s="279"/>
      <c r="N24" s="279"/>
      <c r="O24" s="279"/>
      <c r="P24" s="279"/>
      <c r="Q24" s="279"/>
      <c r="R24" s="279"/>
      <c r="S24" s="279"/>
      <c r="T24" s="279"/>
    </row>
    <row r="25" ht="15.5" spans="1:20">
      <c r="A25" s="272"/>
      <c r="B25" s="272" t="s">
        <v>39</v>
      </c>
      <c r="C25" s="278">
        <f>C22*C24</f>
        <v>7489.49530291114</v>
      </c>
      <c r="D25" s="278">
        <f t="shared" ref="C25:I25" si="15">D22*D24</f>
        <v>-148.807262051764</v>
      </c>
      <c r="E25" s="278">
        <f t="shared" si="15"/>
        <v>-340.633630708123</v>
      </c>
      <c r="F25" s="278">
        <f t="shared" si="15"/>
        <v>-29.5079926395368</v>
      </c>
      <c r="G25" s="278">
        <f t="shared" si="15"/>
        <v>503.25259745448</v>
      </c>
      <c r="H25" s="278">
        <f t="shared" si="15"/>
        <v>1041.28975702857</v>
      </c>
      <c r="I25" s="278">
        <f t="shared" si="15"/>
        <v>2242.54473976956</v>
      </c>
      <c r="J25" s="278"/>
      <c r="L25" s="272"/>
      <c r="M25" s="279"/>
      <c r="N25" s="279"/>
      <c r="O25" s="279"/>
      <c r="P25" s="279"/>
      <c r="Q25" s="279"/>
      <c r="R25" s="279"/>
      <c r="S25" s="279"/>
      <c r="T25" s="279"/>
    </row>
    <row r="26" spans="1:20">
      <c r="A26" s="272"/>
      <c r="B26" s="272"/>
      <c r="C26" s="272"/>
      <c r="D26" s="272"/>
      <c r="E26" s="272"/>
      <c r="F26" s="272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</row>
    <row r="27" ht="15.5" spans="1:20">
      <c r="A27" s="272"/>
      <c r="B27" s="293" t="s">
        <v>40</v>
      </c>
      <c r="C27" s="294" t="s">
        <v>0</v>
      </c>
      <c r="D27" s="272"/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</row>
    <row r="28" ht="15.5" spans="1:20">
      <c r="A28" s="272"/>
      <c r="B28" s="295" t="s">
        <v>41</v>
      </c>
      <c r="C28" s="296">
        <v>0.3</v>
      </c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</row>
    <row r="29" ht="15.5" spans="1:20">
      <c r="A29" s="272"/>
      <c r="B29" s="297" t="s">
        <v>42</v>
      </c>
      <c r="C29" s="298">
        <f>SUM(C25:I25)</f>
        <v>10757.6335117643</v>
      </c>
      <c r="D29" s="272"/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</row>
    <row r="30" ht="15.5" spans="1:20">
      <c r="A30" s="272"/>
      <c r="B30" s="297" t="s">
        <v>43</v>
      </c>
      <c r="C30" s="299">
        <v>40</v>
      </c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</row>
    <row r="31" ht="15.5" spans="1:20">
      <c r="A31" s="272"/>
      <c r="B31" s="297" t="s">
        <v>44</v>
      </c>
      <c r="C31" s="297">
        <f>C30*I17*I24</f>
        <v>171528.785510325</v>
      </c>
      <c r="D31" s="272"/>
      <c r="E31" s="272"/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</row>
    <row r="32" ht="15.5" spans="1:20">
      <c r="A32" s="272"/>
      <c r="B32" s="300" t="s">
        <v>45</v>
      </c>
      <c r="C32" s="300">
        <f>C29+C31</f>
        <v>182286.419022089</v>
      </c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</row>
    <row r="33" ht="15.5" spans="1:19">
      <c r="A33" s="272"/>
      <c r="B33" s="297" t="s">
        <v>46</v>
      </c>
      <c r="C33" s="297">
        <v>21676</v>
      </c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</row>
    <row r="34" ht="15.5" spans="1:19">
      <c r="A34" s="272"/>
      <c r="B34" s="300" t="s">
        <v>47</v>
      </c>
      <c r="C34" s="300">
        <f>C32-C33</f>
        <v>160610.419022089</v>
      </c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</row>
    <row r="35" ht="15.5" spans="1:19">
      <c r="A35" s="272"/>
      <c r="B35" s="300" t="s">
        <v>48</v>
      </c>
      <c r="C35" s="301">
        <f>C34/10000</f>
        <v>16.0610419022089</v>
      </c>
      <c r="D35" s="272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</row>
    <row r="36" spans="1:19">
      <c r="A36" s="272"/>
      <c r="B36" s="272"/>
      <c r="C36" s="272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</row>
    <row r="37" spans="1:19">
      <c r="A37" s="272"/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</row>
    <row r="38" ht="15.5" spans="1:19">
      <c r="A38" s="272"/>
      <c r="B38" s="302" t="s">
        <v>49</v>
      </c>
      <c r="C38" s="272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</row>
    <row r="39" ht="15.5" spans="1:19">
      <c r="A39" s="272"/>
      <c r="B39" s="272"/>
      <c r="C39" s="273" t="s">
        <v>50</v>
      </c>
      <c r="D39" s="272"/>
      <c r="E39" s="303" t="s">
        <v>51</v>
      </c>
      <c r="F39" s="303"/>
      <c r="G39" s="303"/>
      <c r="H39" s="303"/>
      <c r="I39" s="303"/>
      <c r="J39" s="272"/>
      <c r="K39" s="272"/>
      <c r="L39" s="272"/>
      <c r="M39" s="272"/>
      <c r="N39" s="272"/>
      <c r="O39" s="272"/>
      <c r="P39" s="272"/>
      <c r="Q39" s="272"/>
      <c r="R39" s="272"/>
      <c r="S39" s="272"/>
    </row>
    <row r="40" ht="15.5" spans="1:19">
      <c r="A40" s="272"/>
      <c r="B40" s="272"/>
      <c r="C40" s="273"/>
      <c r="D40" s="304" t="s">
        <v>52</v>
      </c>
      <c r="E40" s="305">
        <f>$D$6*(1+E41)^5</f>
        <v>107549.026896753</v>
      </c>
      <c r="F40" s="305">
        <f>$D$6*(1+F41)^5</f>
        <v>119228.669752772</v>
      </c>
      <c r="G40" s="305">
        <f t="shared" ref="F40:I40" si="16">$D$6*(1+G41)^5</f>
        <v>131901.677862549</v>
      </c>
      <c r="H40" s="305">
        <f t="shared" si="16"/>
        <v>145630.110437911</v>
      </c>
      <c r="I40" s="305">
        <f t="shared" si="16"/>
        <v>160478.5592029</v>
      </c>
      <c r="J40" s="305"/>
      <c r="K40" s="305"/>
      <c r="L40" s="272"/>
      <c r="M40" s="272"/>
      <c r="N40" s="272"/>
      <c r="O40" s="272"/>
      <c r="P40" s="272"/>
      <c r="Q40" s="272"/>
      <c r="R40" s="272"/>
      <c r="S40" s="272"/>
    </row>
    <row r="41" ht="15.5" spans="1:19">
      <c r="A41" s="272"/>
      <c r="B41" s="272"/>
      <c r="C41" s="272"/>
      <c r="D41" s="306">
        <f>C35</f>
        <v>16.0610419022089</v>
      </c>
      <c r="E41" s="307">
        <v>0.2</v>
      </c>
      <c r="F41" s="307">
        <v>0.225</v>
      </c>
      <c r="G41" s="307">
        <v>0.25</v>
      </c>
      <c r="H41" s="307">
        <v>0.275</v>
      </c>
      <c r="I41" s="307">
        <v>0.3</v>
      </c>
      <c r="J41" s="272"/>
      <c r="K41" s="272"/>
      <c r="L41" s="272" t="s">
        <v>53</v>
      </c>
      <c r="M41" s="308">
        <f>I17</f>
        <v>26907.94228396</v>
      </c>
      <c r="N41" s="272"/>
      <c r="O41" s="272"/>
      <c r="P41" s="272"/>
      <c r="Q41" s="272"/>
      <c r="R41" s="272"/>
      <c r="S41" s="272"/>
    </row>
    <row r="42" ht="15.5" spans="1:19">
      <c r="A42" s="272"/>
      <c r="B42" s="272"/>
      <c r="C42" s="303" t="s">
        <v>54</v>
      </c>
      <c r="D42" s="309">
        <v>20</v>
      </c>
      <c r="E42" s="310">
        <f t="dataTable" ref="E42:I46" dt2D="1" dtr="1" r1="J7" r2="C30"/>
        <v>6.09128327832758</v>
      </c>
      <c r="F42" s="310">
        <v>6.75952561449634</v>
      </c>
      <c r="G42" s="310">
        <v>7.48460262669266</v>
      </c>
      <c r="H42" s="310">
        <v>8.27006498792975</v>
      </c>
      <c r="I42" s="310">
        <v>9.11960826707932</v>
      </c>
      <c r="J42" s="272"/>
      <c r="K42" s="272"/>
      <c r="L42" s="272" t="s">
        <v>55</v>
      </c>
      <c r="M42" s="311">
        <f>C30</f>
        <v>40</v>
      </c>
      <c r="N42" s="272"/>
      <c r="O42" s="272"/>
      <c r="P42" s="272"/>
      <c r="Q42" s="272"/>
      <c r="R42" s="272"/>
      <c r="S42" s="272"/>
    </row>
    <row r="43" ht="15.5" spans="1:19">
      <c r="A43" s="272"/>
      <c r="B43" s="272"/>
      <c r="C43" s="303"/>
      <c r="D43" s="309">
        <v>30</v>
      </c>
      <c r="E43" s="310">
        <v>9.58778049226771</v>
      </c>
      <c r="F43" s="310">
        <v>10.6357365263121</v>
      </c>
      <c r="G43" s="310">
        <v>11.7728222644508</v>
      </c>
      <c r="H43" s="312">
        <v>13.0046059698837</v>
      </c>
      <c r="I43" s="312">
        <v>14.3368831354864</v>
      </c>
      <c r="J43" s="272"/>
      <c r="K43" s="272"/>
      <c r="L43" s="272" t="s">
        <v>56</v>
      </c>
      <c r="M43" s="313">
        <f>M41*M42</f>
        <v>1076317.6913584</v>
      </c>
      <c r="N43" s="272"/>
      <c r="O43" s="272"/>
      <c r="P43" s="272"/>
      <c r="Q43" s="272"/>
      <c r="R43" s="272"/>
      <c r="S43" s="272"/>
    </row>
    <row r="44" ht="15.5" spans="1:19">
      <c r="A44" s="272"/>
      <c r="B44" s="272"/>
      <c r="C44" s="303"/>
      <c r="D44" s="309">
        <v>40</v>
      </c>
      <c r="E44" s="312">
        <v>13.0842777062078</v>
      </c>
      <c r="F44" s="312">
        <v>14.5119474381278</v>
      </c>
      <c r="G44" s="312">
        <v>16.0610419022089</v>
      </c>
      <c r="H44" s="312">
        <v>17.7391469518377</v>
      </c>
      <c r="I44" s="312">
        <v>19.5541580038935</v>
      </c>
      <c r="J44" s="272"/>
      <c r="K44" s="272"/>
      <c r="L44" s="272" t="s">
        <v>57</v>
      </c>
      <c r="M44" s="272">
        <v>3000</v>
      </c>
      <c r="N44" s="272"/>
      <c r="O44" s="272"/>
      <c r="P44" s="272"/>
      <c r="Q44" s="272"/>
      <c r="R44" s="272"/>
      <c r="S44" s="272"/>
    </row>
    <row r="45" ht="15.5" spans="1:19">
      <c r="A45" s="272"/>
      <c r="B45" s="272"/>
      <c r="C45" s="303"/>
      <c r="D45" s="309">
        <v>50</v>
      </c>
      <c r="E45" s="312">
        <v>16.580774920148</v>
      </c>
      <c r="F45" s="312">
        <v>18.3881583499435</v>
      </c>
      <c r="G45" s="312">
        <v>20.349261539967</v>
      </c>
      <c r="H45" s="312">
        <v>22.4736879337917</v>
      </c>
      <c r="I45" s="312">
        <v>24.7714328723006</v>
      </c>
      <c r="J45" s="272"/>
      <c r="K45" s="272"/>
      <c r="L45" s="272" t="s">
        <v>58</v>
      </c>
      <c r="M45" s="314">
        <f>3000/145000</f>
        <v>0.0206896551724138</v>
      </c>
      <c r="N45" s="272"/>
      <c r="O45" s="272"/>
      <c r="P45" s="272"/>
      <c r="Q45" s="272"/>
      <c r="R45" s="272"/>
      <c r="S45" s="272"/>
    </row>
    <row r="46" ht="15.5" spans="1:19">
      <c r="A46" s="272"/>
      <c r="B46" s="272"/>
      <c r="C46" s="303"/>
      <c r="D46" s="309">
        <v>60</v>
      </c>
      <c r="E46" s="312">
        <v>20.0772721340881</v>
      </c>
      <c r="F46" s="312">
        <v>22.2643692617592</v>
      </c>
      <c r="G46" s="312">
        <v>24.6374811777251</v>
      </c>
      <c r="H46" s="312">
        <v>27.2082289157457</v>
      </c>
      <c r="I46" s="312">
        <v>29.9887077407077</v>
      </c>
      <c r="J46" s="272"/>
      <c r="K46" s="272"/>
      <c r="L46" s="272" t="s">
        <v>59</v>
      </c>
      <c r="M46" s="315">
        <v>0.25</v>
      </c>
      <c r="N46" s="272"/>
      <c r="O46" s="272"/>
      <c r="P46" s="272"/>
      <c r="Q46" s="272"/>
      <c r="R46" s="272"/>
      <c r="S46" s="272"/>
    </row>
    <row r="47" ht="15.5" spans="1:19">
      <c r="A47" s="272"/>
      <c r="B47" s="272"/>
      <c r="C47" s="272"/>
      <c r="D47" s="272"/>
      <c r="E47" s="272"/>
      <c r="F47" s="272"/>
      <c r="G47" s="272"/>
      <c r="H47" s="272"/>
      <c r="I47" s="272"/>
      <c r="J47" s="272"/>
      <c r="K47" s="272"/>
      <c r="L47" s="272" t="s">
        <v>60</v>
      </c>
      <c r="M47" s="316">
        <f>M45*(1-M46)</f>
        <v>0.0155172413793103</v>
      </c>
      <c r="N47" s="272"/>
      <c r="O47" s="272"/>
      <c r="P47" s="272"/>
      <c r="Q47" s="272"/>
      <c r="R47" s="272"/>
      <c r="S47" s="272"/>
    </row>
    <row r="48" ht="15.5" spans="1:19">
      <c r="A48" s="272"/>
      <c r="B48" s="272"/>
      <c r="C48" s="272"/>
      <c r="D48" s="272"/>
      <c r="E48" s="272"/>
      <c r="F48" s="272"/>
      <c r="G48" s="272"/>
      <c r="H48" s="272"/>
      <c r="I48" s="272"/>
      <c r="J48" s="272"/>
      <c r="K48" s="272"/>
      <c r="L48" s="272" t="s">
        <v>61</v>
      </c>
      <c r="M48" s="313">
        <f>M43*M47</f>
        <v>16701.4814176303</v>
      </c>
      <c r="N48" s="272"/>
      <c r="O48" s="272"/>
      <c r="P48" s="272"/>
      <c r="Q48" s="272"/>
      <c r="R48" s="272"/>
      <c r="S48" s="272"/>
    </row>
    <row r="49" ht="15.5" spans="1:19">
      <c r="A49" s="272"/>
      <c r="B49" s="272"/>
      <c r="C49" s="272"/>
      <c r="D49" s="272"/>
      <c r="E49" s="272"/>
      <c r="F49" s="272"/>
      <c r="G49" s="272"/>
      <c r="H49" s="272"/>
      <c r="I49" s="272"/>
      <c r="J49" s="272"/>
      <c r="K49" s="272"/>
      <c r="L49" s="272" t="s">
        <v>62</v>
      </c>
      <c r="M49" s="313">
        <f>M48/M44</f>
        <v>5.56716047254342</v>
      </c>
      <c r="N49" s="272"/>
      <c r="O49" s="272"/>
      <c r="P49" s="272"/>
      <c r="Q49" s="272"/>
      <c r="R49" s="272"/>
      <c r="S49" s="272"/>
    </row>
    <row r="50" spans="1:19">
      <c r="A50" s="272"/>
      <c r="B50" s="272"/>
      <c r="C50" s="272"/>
      <c r="D50" s="272"/>
      <c r="E50" s="272"/>
      <c r="F50" s="272"/>
      <c r="G50" s="272"/>
      <c r="H50" s="272"/>
      <c r="I50" s="272"/>
      <c r="J50" s="305"/>
      <c r="K50" s="305"/>
      <c r="L50" s="272" t="s">
        <v>63</v>
      </c>
      <c r="M50" s="317">
        <f>M49^(1/5)-1</f>
        <v>0.409700156614613</v>
      </c>
      <c r="N50" s="272"/>
      <c r="O50" s="272"/>
      <c r="P50" s="272"/>
      <c r="Q50" s="272"/>
      <c r="R50" s="272"/>
      <c r="S50" s="272"/>
    </row>
    <row r="51" ht="15.5" spans="1:19">
      <c r="A51" s="272"/>
      <c r="B51" s="272"/>
      <c r="C51" s="273" t="s">
        <v>64</v>
      </c>
      <c r="D51" s="272"/>
      <c r="E51" s="303" t="s">
        <v>51</v>
      </c>
      <c r="F51" s="303"/>
      <c r="G51" s="303"/>
      <c r="H51" s="303"/>
      <c r="I51" s="303"/>
      <c r="J51" s="272"/>
      <c r="K51" s="272"/>
      <c r="L51" s="272"/>
      <c r="M51" s="272"/>
      <c r="N51" s="272"/>
      <c r="O51" s="272"/>
      <c r="P51" s="272"/>
      <c r="Q51" s="272"/>
      <c r="R51" s="272"/>
      <c r="S51" s="272"/>
    </row>
    <row r="52" ht="15.5" spans="1:19">
      <c r="A52" s="272"/>
      <c r="B52" s="272"/>
      <c r="C52" s="273"/>
      <c r="D52" s="304" t="s">
        <v>52</v>
      </c>
      <c r="E52" s="305">
        <f>$D$6*(1+E53)^5</f>
        <v>107549.026896753</v>
      </c>
      <c r="F52" s="305">
        <f t="shared" ref="F52" si="17">$D$6*(1+F53)^5</f>
        <v>119228.669752772</v>
      </c>
      <c r="G52" s="305">
        <f t="shared" ref="G52" si="18">$D$6*(1+G53)^5</f>
        <v>131901.677862549</v>
      </c>
      <c r="H52" s="305">
        <f t="shared" ref="H52" si="19">$D$6*(1+H53)^5</f>
        <v>145630.110437911</v>
      </c>
      <c r="I52" s="305">
        <f t="shared" ref="I52" si="20">$D$6*(1+I53)^5</f>
        <v>160478.5592029</v>
      </c>
      <c r="J52" s="272"/>
      <c r="K52" s="272"/>
      <c r="L52" s="272"/>
      <c r="M52" s="272"/>
      <c r="N52" s="272"/>
      <c r="O52" s="272"/>
      <c r="P52" s="272"/>
      <c r="Q52" s="272"/>
      <c r="R52" s="272"/>
      <c r="S52" s="272"/>
    </row>
    <row r="53" spans="1:19">
      <c r="A53" s="272"/>
      <c r="B53" s="272"/>
      <c r="C53" s="272"/>
      <c r="D53" s="306">
        <f>M49</f>
        <v>5.56716047254342</v>
      </c>
      <c r="E53" s="307">
        <v>0.2</v>
      </c>
      <c r="F53" s="307">
        <v>0.225</v>
      </c>
      <c r="G53" s="307">
        <v>0.25</v>
      </c>
      <c r="H53" s="307">
        <v>0.275</v>
      </c>
      <c r="I53" s="307">
        <v>0.3</v>
      </c>
      <c r="J53" s="272"/>
      <c r="K53" s="272"/>
      <c r="L53" s="272"/>
      <c r="M53" s="272"/>
      <c r="N53" s="272"/>
      <c r="O53" s="272"/>
      <c r="P53" s="272"/>
      <c r="Q53" s="272"/>
      <c r="R53" s="272"/>
      <c r="S53" s="272"/>
    </row>
    <row r="54" spans="1:19">
      <c r="A54" s="272"/>
      <c r="B54" s="272"/>
      <c r="C54" s="303" t="s">
        <v>54</v>
      </c>
      <c r="D54" s="309">
        <v>20</v>
      </c>
      <c r="E54" s="318">
        <f t="dataTable" ref="E54:I58" dt2D="1" dtr="1" r1="J7" r2="C30"/>
        <v>2.26965532623491</v>
      </c>
      <c r="F54" s="318">
        <v>2.51613606512746</v>
      </c>
      <c r="G54" s="318">
        <v>2.78358023627171</v>
      </c>
      <c r="H54" s="318">
        <v>3.07329750303452</v>
      </c>
      <c r="I54" s="318">
        <v>3.38665097352326</v>
      </c>
      <c r="J54" s="272"/>
      <c r="K54" s="272"/>
      <c r="L54" s="272"/>
      <c r="M54" s="272"/>
      <c r="N54" s="272"/>
      <c r="O54" s="272"/>
      <c r="P54" s="272"/>
      <c r="Q54" s="272"/>
      <c r="R54" s="272"/>
      <c r="S54" s="272"/>
    </row>
    <row r="55" spans="1:19">
      <c r="A55" s="272"/>
      <c r="B55" s="272"/>
      <c r="C55" s="303"/>
      <c r="D55" s="309">
        <v>30</v>
      </c>
      <c r="E55" s="318">
        <v>3.40448298935237</v>
      </c>
      <c r="F55" s="318">
        <v>3.77420409769119</v>
      </c>
      <c r="G55" s="318">
        <v>4.17537035440757</v>
      </c>
      <c r="H55" s="318">
        <v>4.60994625455177</v>
      </c>
      <c r="I55" s="318">
        <v>5.07997646028489</v>
      </c>
      <c r="J55" s="272"/>
      <c r="K55" s="272"/>
      <c r="L55" s="272"/>
      <c r="M55" s="272"/>
      <c r="N55" s="272"/>
      <c r="O55" s="272"/>
      <c r="P55" s="272"/>
      <c r="Q55" s="272"/>
      <c r="R55" s="272"/>
      <c r="S55" s="272"/>
    </row>
    <row r="56" spans="1:19">
      <c r="A56" s="272"/>
      <c r="B56" s="272"/>
      <c r="C56" s="303"/>
      <c r="D56" s="309">
        <v>40</v>
      </c>
      <c r="E56" s="318">
        <v>4.53931065246982</v>
      </c>
      <c r="F56" s="318">
        <v>5.03227213025492</v>
      </c>
      <c r="G56" s="318">
        <v>5.56716047254342</v>
      </c>
      <c r="H56" s="318">
        <v>6.14659500606903</v>
      </c>
      <c r="I56" s="318">
        <v>6.77330194704651</v>
      </c>
      <c r="J56" s="272"/>
      <c r="K56" s="272"/>
      <c r="L56" s="272"/>
      <c r="M56" s="272"/>
      <c r="N56" s="272"/>
      <c r="O56" s="272"/>
      <c r="P56" s="272"/>
      <c r="Q56" s="272"/>
      <c r="R56" s="272"/>
      <c r="S56" s="272"/>
    </row>
    <row r="57" spans="1:19">
      <c r="A57" s="272"/>
      <c r="B57" s="272"/>
      <c r="C57" s="303"/>
      <c r="D57" s="309">
        <v>50</v>
      </c>
      <c r="E57" s="318">
        <v>5.67413831558728</v>
      </c>
      <c r="F57" s="318">
        <v>6.29034016281865</v>
      </c>
      <c r="G57" s="318">
        <v>6.95895059067928</v>
      </c>
      <c r="H57" s="318">
        <v>7.68324375758629</v>
      </c>
      <c r="I57" s="318">
        <v>8.46662743380814</v>
      </c>
      <c r="J57" s="272"/>
      <c r="K57" s="272"/>
      <c r="L57" s="272"/>
      <c r="M57" s="272"/>
      <c r="N57" s="272"/>
      <c r="O57" s="272"/>
      <c r="P57" s="272"/>
      <c r="Q57" s="272"/>
      <c r="R57" s="272"/>
      <c r="S57" s="272"/>
    </row>
    <row r="58" spans="1:19">
      <c r="A58" s="272"/>
      <c r="B58" s="272"/>
      <c r="C58" s="303"/>
      <c r="D58" s="309">
        <v>60</v>
      </c>
      <c r="E58" s="318">
        <v>6.80896597870473</v>
      </c>
      <c r="F58" s="318">
        <v>7.54840819538238</v>
      </c>
      <c r="G58" s="318">
        <v>8.35074070881513</v>
      </c>
      <c r="H58" s="318">
        <v>9.21989250910355</v>
      </c>
      <c r="I58" s="318">
        <v>10.1599529205698</v>
      </c>
      <c r="J58" s="272"/>
      <c r="K58" s="272"/>
      <c r="L58" s="272"/>
      <c r="M58" s="272"/>
      <c r="N58" s="272"/>
      <c r="O58" s="272"/>
      <c r="P58" s="272"/>
      <c r="Q58" s="272"/>
      <c r="R58" s="272"/>
      <c r="S58" s="272"/>
    </row>
    <row r="59" spans="1:19">
      <c r="A59" s="272"/>
      <c r="B59" s="272"/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</row>
    <row r="60" ht="15.5" spans="1:19">
      <c r="A60" s="272"/>
      <c r="B60" s="272"/>
      <c r="C60" s="273" t="s">
        <v>63</v>
      </c>
      <c r="D60" s="272"/>
      <c r="E60" s="303" t="s">
        <v>51</v>
      </c>
      <c r="F60" s="303"/>
      <c r="G60" s="303"/>
      <c r="H60" s="303"/>
      <c r="I60" s="303"/>
      <c r="J60" s="305"/>
      <c r="K60" s="305"/>
      <c r="L60" s="272"/>
      <c r="M60" s="272"/>
      <c r="N60" s="272"/>
      <c r="O60" s="272"/>
      <c r="P60" s="272"/>
      <c r="Q60" s="272"/>
      <c r="R60" s="272"/>
      <c r="S60" s="272"/>
    </row>
    <row r="61" ht="15.5" spans="1:19">
      <c r="A61" s="272"/>
      <c r="B61" s="272"/>
      <c r="C61" s="273"/>
      <c r="D61" s="304" t="s">
        <v>52</v>
      </c>
      <c r="E61" s="305">
        <f>$D$6*(1+E62)^5</f>
        <v>107549.026896753</v>
      </c>
      <c r="F61" s="305">
        <f>$D$6*(1+F62)^5</f>
        <v>119228.669752772</v>
      </c>
      <c r="G61" s="305">
        <f t="shared" ref="G61" si="21">$D$6*(1+G62)^5</f>
        <v>131901.677862549</v>
      </c>
      <c r="H61" s="305">
        <f t="shared" ref="H61" si="22">$D$6*(1+H62)^5</f>
        <v>145630.110437911</v>
      </c>
      <c r="I61" s="305">
        <f t="shared" ref="I61" si="23">$D$6*(1+I62)^5</f>
        <v>160478.5592029</v>
      </c>
      <c r="J61" s="272"/>
      <c r="K61" s="272"/>
      <c r="L61" s="272"/>
      <c r="M61" s="272"/>
      <c r="N61" s="272"/>
      <c r="O61" s="272"/>
      <c r="P61" s="272"/>
      <c r="Q61" s="272"/>
      <c r="R61" s="272"/>
      <c r="S61" s="272"/>
    </row>
    <row r="62" spans="1:19">
      <c r="A62" s="272"/>
      <c r="B62" s="272"/>
      <c r="C62" s="272"/>
      <c r="D62" s="306">
        <f>M50</f>
        <v>0.409700156614613</v>
      </c>
      <c r="E62" s="307">
        <v>0.2</v>
      </c>
      <c r="F62" s="307">
        <v>0.225</v>
      </c>
      <c r="G62" s="307">
        <v>0.25</v>
      </c>
      <c r="H62" s="307">
        <v>0.275</v>
      </c>
      <c r="I62" s="307">
        <v>0.3</v>
      </c>
      <c r="J62" s="272"/>
      <c r="K62" s="272"/>
      <c r="L62" s="272"/>
      <c r="M62" s="272"/>
      <c r="N62" s="272"/>
      <c r="O62" s="272"/>
      <c r="P62" s="272"/>
      <c r="Q62" s="272"/>
      <c r="R62" s="272"/>
      <c r="S62" s="272"/>
    </row>
    <row r="63" spans="1:19">
      <c r="A63" s="272"/>
      <c r="B63" s="272"/>
      <c r="C63" s="303" t="s">
        <v>54</v>
      </c>
      <c r="D63" s="309">
        <v>20</v>
      </c>
      <c r="E63" s="318">
        <f t="dataTable" ref="E63:I67" dt2D="1" dtr="1" r1="J7" r2="C30"/>
        <v>0.178126654802707</v>
      </c>
      <c r="F63" s="318">
        <v>0.202670960111097</v>
      </c>
      <c r="G63" s="318">
        <v>0.227215265419486</v>
      </c>
      <c r="H63" s="318">
        <v>0.251759570727875</v>
      </c>
      <c r="I63" s="318">
        <v>0.276303876036265</v>
      </c>
      <c r="J63" s="272"/>
      <c r="K63" s="272"/>
      <c r="L63" s="272"/>
      <c r="M63" s="272"/>
      <c r="N63" s="272"/>
      <c r="O63" s="272"/>
      <c r="P63" s="272"/>
      <c r="Q63" s="272"/>
      <c r="R63" s="272"/>
      <c r="S63" s="272"/>
    </row>
    <row r="64" spans="1:19">
      <c r="A64" s="272"/>
      <c r="B64" s="272"/>
      <c r="C64" s="303"/>
      <c r="D64" s="309">
        <v>30</v>
      </c>
      <c r="E64" s="318">
        <v>0.277645100029111</v>
      </c>
      <c r="F64" s="318">
        <v>0.304262706279717</v>
      </c>
      <c r="G64" s="318">
        <v>0.330880312530324</v>
      </c>
      <c r="H64" s="318">
        <v>0.35749791878093</v>
      </c>
      <c r="I64" s="318">
        <v>0.384115525031537</v>
      </c>
      <c r="J64" s="272"/>
      <c r="K64" s="272"/>
      <c r="L64" s="272"/>
      <c r="M64" s="272"/>
      <c r="N64" s="272"/>
      <c r="O64" s="272"/>
      <c r="P64" s="272"/>
      <c r="Q64" s="272"/>
      <c r="R64" s="272"/>
      <c r="S64" s="272"/>
    </row>
    <row r="65" spans="1:19">
      <c r="A65" s="272"/>
      <c r="B65" s="272"/>
      <c r="C65" s="303"/>
      <c r="D65" s="309">
        <v>40</v>
      </c>
      <c r="E65" s="318">
        <v>0.353312150350029</v>
      </c>
      <c r="F65" s="318">
        <v>0.381506153482321</v>
      </c>
      <c r="G65" s="318">
        <v>0.409700156614613</v>
      </c>
      <c r="H65" s="318">
        <v>0.437894159746905</v>
      </c>
      <c r="I65" s="318">
        <v>0.466088162879198</v>
      </c>
      <c r="J65" s="272"/>
      <c r="K65" s="272"/>
      <c r="L65" s="272"/>
      <c r="M65" s="272"/>
      <c r="N65" s="272"/>
      <c r="O65" s="272"/>
      <c r="P65" s="272"/>
      <c r="Q65" s="272"/>
      <c r="R65" s="272"/>
      <c r="S65" s="272"/>
    </row>
    <row r="66" spans="1:19">
      <c r="A66" s="272"/>
      <c r="B66" s="272"/>
      <c r="C66" s="303"/>
      <c r="D66" s="309">
        <v>50</v>
      </c>
      <c r="E66" s="318">
        <v>0.415076711408338</v>
      </c>
      <c r="F66" s="318">
        <v>0.444557476229345</v>
      </c>
      <c r="G66" s="318">
        <v>0.474038241050352</v>
      </c>
      <c r="H66" s="318">
        <v>0.503519005871359</v>
      </c>
      <c r="I66" s="318">
        <v>0.532999770692366</v>
      </c>
      <c r="J66" s="272"/>
      <c r="K66" s="272"/>
      <c r="L66" s="272"/>
      <c r="M66" s="272"/>
      <c r="N66" s="272"/>
      <c r="O66" s="272"/>
      <c r="P66" s="272"/>
      <c r="Q66" s="272"/>
      <c r="R66" s="272"/>
      <c r="S66" s="272"/>
    </row>
    <row r="67" spans="1:19">
      <c r="A67" s="272"/>
      <c r="B67" s="272"/>
      <c r="C67" s="303"/>
      <c r="D67" s="309">
        <v>60</v>
      </c>
      <c r="E67" s="318">
        <v>0.467628824673462</v>
      </c>
      <c r="F67" s="318">
        <v>0.498204425187492</v>
      </c>
      <c r="G67" s="318">
        <v>0.528780025701523</v>
      </c>
      <c r="H67" s="318">
        <v>0.559355626215553</v>
      </c>
      <c r="I67" s="318">
        <v>0.589931226729584</v>
      </c>
      <c r="J67" s="272"/>
      <c r="K67" s="272"/>
      <c r="L67" s="272"/>
      <c r="M67" s="272"/>
      <c r="N67" s="272"/>
      <c r="O67" s="272"/>
      <c r="P67" s="272"/>
      <c r="Q67" s="272"/>
      <c r="R67" s="272"/>
      <c r="S67" s="272"/>
    </row>
    <row r="68" spans="1:19">
      <c r="A68" s="272"/>
      <c r="B68" s="272"/>
      <c r="C68" s="272"/>
      <c r="D68" s="272"/>
      <c r="E68" s="272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</row>
    <row r="69" spans="1:19">
      <c r="A69" s="272"/>
      <c r="B69" s="272"/>
      <c r="C69" s="272"/>
      <c r="D69" s="272"/>
      <c r="E69" s="272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</row>
    <row r="70" spans="1:19">
      <c r="A70" s="272"/>
      <c r="B70" s="272"/>
      <c r="C70" s="272"/>
      <c r="D70" s="272"/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</row>
    <row r="71" spans="1:19">
      <c r="A71" s="272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</row>
    <row r="72" spans="1:19">
      <c r="A72" s="272"/>
      <c r="B72" s="272"/>
      <c r="C72" s="272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</row>
    <row r="73" spans="1:19">
      <c r="A73" s="272"/>
      <c r="B73" s="272"/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</row>
    <row r="74" spans="1:19">
      <c r="A74" s="272"/>
      <c r="B74" s="272"/>
      <c r="C74" s="272"/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O74" s="272"/>
      <c r="P74" s="272"/>
      <c r="Q74" s="272"/>
      <c r="R74" s="272"/>
      <c r="S74" s="272"/>
    </row>
    <row r="75" spans="1:19">
      <c r="A75" s="272"/>
      <c r="B75" s="272"/>
      <c r="C75" s="272"/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</row>
    <row r="76" spans="1:19">
      <c r="A76" s="272"/>
      <c r="B76" s="272"/>
      <c r="C76" s="272"/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</row>
    <row r="77" spans="1:19">
      <c r="A77" s="272"/>
      <c r="B77" s="272"/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</row>
    <row r="78" spans="1:19">
      <c r="A78" s="272"/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</row>
    <row r="79" spans="1:19">
      <c r="A79" s="272"/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</row>
    <row r="80" spans="1:19">
      <c r="A80" s="272"/>
      <c r="B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</row>
    <row r="81" spans="1:19">
      <c r="A81" s="272"/>
      <c r="B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</row>
    <row r="82" spans="1:19">
      <c r="A82" s="272"/>
      <c r="B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</row>
    <row r="83" spans="1:19">
      <c r="A83" s="272"/>
      <c r="B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</row>
    <row r="84" spans="1:19">
      <c r="A84" s="272"/>
      <c r="B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</row>
    <row r="85" spans="1:19">
      <c r="A85" s="272"/>
      <c r="B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</row>
    <row r="86" spans="1:19">
      <c r="A86" s="272"/>
      <c r="B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</row>
    <row r="87" spans="1:19">
      <c r="A87" s="272"/>
      <c r="B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</row>
  </sheetData>
  <mergeCells count="6">
    <mergeCell ref="E39:I39"/>
    <mergeCell ref="E51:I51"/>
    <mergeCell ref="E60:I60"/>
    <mergeCell ref="C42:C46"/>
    <mergeCell ref="C54:C58"/>
    <mergeCell ref="C63:C6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B2:R24"/>
  <sheetViews>
    <sheetView showGridLines="0" workbookViewId="0">
      <pane ySplit="2" topLeftCell="A3" activePane="bottomLeft" state="frozen"/>
      <selection/>
      <selection pane="bottomLeft" activeCell="L10" sqref="L10"/>
    </sheetView>
  </sheetViews>
  <sheetFormatPr defaultColWidth="8.72727272727273" defaultRowHeight="14"/>
  <cols>
    <col min="1" max="1" width="8.72727272727273" style="228"/>
    <col min="2" max="2" width="23.5636363636364" style="228" customWidth="1"/>
    <col min="3" max="3" width="11.0909090909091" style="228" hidden="1" customWidth="1" outlineLevel="1"/>
    <col min="4" max="4" width="20.7272727272727" style="228" hidden="1" customWidth="1" outlineLevel="1"/>
    <col min="5" max="5" width="19" style="228" customWidth="1" collapsed="1"/>
    <col min="6" max="6" width="13.6363636363636" style="228" customWidth="1"/>
    <col min="7" max="7" width="11.4545454545455" style="228" customWidth="1"/>
    <col min="8" max="13" width="15.7272727272727" style="228" customWidth="1"/>
    <col min="14" max="14" width="8.72727272727273" style="228"/>
    <col min="15" max="15" width="7.17272727272727" style="228" customWidth="1"/>
    <col min="16" max="16" width="14.3636363636364" style="228" customWidth="1"/>
    <col min="17" max="17" width="17.6363636363636" style="228" customWidth="1"/>
    <col min="18" max="16384" width="8.72727272727273" style="228"/>
  </cols>
  <sheetData>
    <row r="2" spans="2:18">
      <c r="B2" s="229" t="s">
        <v>65</v>
      </c>
      <c r="C2" s="229" t="s">
        <v>66</v>
      </c>
      <c r="D2" s="229" t="s">
        <v>67</v>
      </c>
      <c r="E2" s="229" t="s">
        <v>68</v>
      </c>
      <c r="F2" s="229" t="s">
        <v>69</v>
      </c>
      <c r="G2" s="229" t="s">
        <v>70</v>
      </c>
      <c r="H2" s="229" t="s">
        <v>71</v>
      </c>
      <c r="I2" s="229" t="s">
        <v>72</v>
      </c>
      <c r="J2" s="229" t="s">
        <v>73</v>
      </c>
      <c r="K2" s="230" t="s">
        <v>74</v>
      </c>
      <c r="L2" s="230" t="s">
        <v>75</v>
      </c>
      <c r="M2" s="230" t="s">
        <v>76</v>
      </c>
      <c r="N2" s="231" t="s">
        <v>77</v>
      </c>
      <c r="O2" s="231" t="s">
        <v>78</v>
      </c>
      <c r="P2" s="231" t="s">
        <v>54</v>
      </c>
      <c r="Q2" s="230" t="s">
        <v>79</v>
      </c>
    </row>
    <row r="3" ht="28" spans="2:18">
      <c r="B3" s="232" t="s">
        <v>80</v>
      </c>
      <c r="C3" s="233">
        <v>688409</v>
      </c>
      <c r="D3" s="234" t="s">
        <v>81</v>
      </c>
      <c r="E3" s="235" t="s">
        <v>82</v>
      </c>
      <c r="F3" s="236">
        <v>27.301527</v>
      </c>
      <c r="G3" s="237">
        <v>0.0209137386344728</v>
      </c>
      <c r="H3" s="238">
        <v>0.0219641194428429</v>
      </c>
      <c r="I3" s="238">
        <v>0.11488049734361</v>
      </c>
      <c r="J3" s="238">
        <v>0.0715304678745625</v>
      </c>
      <c r="K3" s="239">
        <f>可比公司营运情况!H3</f>
        <v>118.610914126265</v>
      </c>
      <c r="L3" s="239">
        <f>可比公司营运情况!L3</f>
        <v>147.664952741817</v>
      </c>
      <c r="M3" s="239">
        <f>可比公司营运情况!P3</f>
        <v>111.1752</v>
      </c>
      <c r="N3" s="240">
        <v>89.89</v>
      </c>
      <c r="O3" s="241">
        <f>N3/'二级可比 相对估值'!K23</f>
        <v>68.3849914101872</v>
      </c>
      <c r="P3" s="241">
        <v>6.38</v>
      </c>
      <c r="Q3" s="242" t="s">
        <v>83</v>
      </c>
    </row>
    <row r="4" ht="42" spans="2:18">
      <c r="B4" s="232" t="s">
        <v>84</v>
      </c>
      <c r="C4" s="233">
        <v>688605</v>
      </c>
      <c r="D4" s="234" t="s">
        <v>85</v>
      </c>
      <c r="E4" s="243" t="s">
        <v>86</v>
      </c>
      <c r="F4" s="236">
        <v>9.685596</v>
      </c>
      <c r="G4" s="237">
        <v>0.197031344276594</v>
      </c>
      <c r="H4" s="238">
        <v>0.00442006872886294</v>
      </c>
      <c r="I4" s="238">
        <v>0.04129451610412</v>
      </c>
      <c r="J4" s="238">
        <v>0.0553574607076322</v>
      </c>
      <c r="K4" s="239">
        <f>可比公司营运情况!H4</f>
        <v>95.7810862247989</v>
      </c>
      <c r="L4" s="239">
        <f>可比公司营运情况!L4</f>
        <v>46.1308938035537</v>
      </c>
      <c r="M4" s="239">
        <f>可比公司营运情况!P4</f>
        <v>157.8394</v>
      </c>
      <c r="N4" s="240">
        <v>63.8</v>
      </c>
      <c r="O4" s="241"/>
      <c r="P4" s="241">
        <v>10.64</v>
      </c>
      <c r="Q4" s="242" t="s">
        <v>83</v>
      </c>
    </row>
    <row r="5" ht="42" spans="2:18">
      <c r="B5" s="232" t="s">
        <v>87</v>
      </c>
      <c r="C5" s="233">
        <v>688233</v>
      </c>
      <c r="D5" s="234" t="s">
        <v>88</v>
      </c>
      <c r="E5" s="243" t="s">
        <v>86</v>
      </c>
      <c r="F5" s="236">
        <v>3.159998</v>
      </c>
      <c r="G5" s="237">
        <v>0.289053663958015</v>
      </c>
      <c r="H5" s="238">
        <v>0.0167474789541006</v>
      </c>
      <c r="I5" s="238">
        <v>0.0702244115344377</v>
      </c>
      <c r="J5" s="238">
        <v>0.0675471946501232</v>
      </c>
      <c r="K5" s="239">
        <f>可比公司营运情况!H5</f>
        <v>127.476734861018</v>
      </c>
      <c r="L5" s="239">
        <f>可比公司营运情况!L5</f>
        <v>110.926938504531</v>
      </c>
      <c r="M5" s="239">
        <f>可比公司营运情况!P5</f>
        <v>240.3632</v>
      </c>
      <c r="N5" s="240">
        <v>51.14</v>
      </c>
      <c r="O5" s="241">
        <f>N5/'二级可比 相对估值'!K25</f>
        <v>34.1945607672742</v>
      </c>
      <c r="P5" s="241">
        <v>18.64</v>
      </c>
      <c r="Q5" s="242" t="s">
        <v>83</v>
      </c>
      <c r="R5" s="244"/>
    </row>
    <row r="6" ht="56" spans="2:18">
      <c r="B6" s="232" t="s">
        <v>89</v>
      </c>
      <c r="C6" s="233">
        <v>835179</v>
      </c>
      <c r="D6" s="234" t="s">
        <v>90</v>
      </c>
      <c r="E6" s="245" t="s">
        <v>91</v>
      </c>
      <c r="F6" s="236">
        <v>2.221241</v>
      </c>
      <c r="G6" s="237">
        <v>0.146389338212288</v>
      </c>
      <c r="H6" s="238">
        <v>0.0208230444152616</v>
      </c>
      <c r="I6" s="238">
        <v>0.176590473523584</v>
      </c>
      <c r="J6" s="238">
        <v>0.069565616698053</v>
      </c>
      <c r="K6" s="239">
        <f>可比公司营运情况!H6</f>
        <v>95.2038381617996</v>
      </c>
      <c r="L6" s="239">
        <f>可比公司营运情况!L6</f>
        <v>138.586004427515</v>
      </c>
      <c r="M6" s="239">
        <f>可比公司营运情况!P6</f>
        <v>170.9618</v>
      </c>
      <c r="N6" s="240">
        <v>34.87</v>
      </c>
      <c r="O6" s="241">
        <f>N6/'二级可比 相对估值'!K26</f>
        <v>34.015299908602</v>
      </c>
      <c r="P6" s="241">
        <v>8.1</v>
      </c>
      <c r="Q6" s="242" t="s">
        <v>83</v>
      </c>
    </row>
    <row r="7" ht="28" spans="2:18">
      <c r="B7" s="232" t="s">
        <v>92</v>
      </c>
      <c r="C7" s="233">
        <v>300666</v>
      </c>
      <c r="D7" s="234" t="s">
        <v>93</v>
      </c>
      <c r="E7" s="235" t="s">
        <v>82</v>
      </c>
      <c r="F7" s="236">
        <v>32.911562</v>
      </c>
      <c r="G7" s="237">
        <v>0.118987485309874</v>
      </c>
      <c r="H7" s="238">
        <v>0.0265021757399421</v>
      </c>
      <c r="I7" s="238">
        <v>0.0647431744503649</v>
      </c>
      <c r="J7" s="238">
        <v>0.0589755357099125</v>
      </c>
      <c r="K7" s="239">
        <f>可比公司营运情况!H7</f>
        <v>89.0448885914689</v>
      </c>
      <c r="L7" s="239">
        <f>可比公司营运情况!L7</f>
        <v>32.1304073473672</v>
      </c>
      <c r="M7" s="239">
        <f>可比公司营运情况!P7</f>
        <v>532.4394</v>
      </c>
      <c r="N7" s="240">
        <v>63.54</v>
      </c>
      <c r="O7" s="241">
        <f>N7/'二级可比 相对估值'!K27</f>
        <v>49.9356540533876</v>
      </c>
      <c r="P7" s="241">
        <v>6.875</v>
      </c>
      <c r="Q7" s="242" t="s">
        <v>83</v>
      </c>
    </row>
    <row r="8" ht="56" spans="2:18">
      <c r="B8" s="232" t="s">
        <v>94</v>
      </c>
      <c r="C8" s="233">
        <v>300820</v>
      </c>
      <c r="D8" s="234" t="s">
        <v>95</v>
      </c>
      <c r="E8" s="243" t="s">
        <v>86</v>
      </c>
      <c r="F8" s="236">
        <v>11.497447</v>
      </c>
      <c r="G8" s="237">
        <v>0.18511909643941</v>
      </c>
      <c r="H8" s="238">
        <v>0.0468689266408447</v>
      </c>
      <c r="I8" s="238">
        <v>0.0321608788455385</v>
      </c>
      <c r="J8" s="238">
        <v>0.0964412360413577</v>
      </c>
      <c r="K8" s="239">
        <f>可比公司营运情况!H8</f>
        <v>129.017394658846</v>
      </c>
      <c r="L8" s="239">
        <f>可比公司营运情况!L8</f>
        <v>187.906920985678</v>
      </c>
      <c r="M8" s="239">
        <f>可比公司营运情况!P8</f>
        <v>499.6299</v>
      </c>
      <c r="N8" s="240">
        <v>40.15</v>
      </c>
      <c r="O8" s="241">
        <f>N8/'二级可比 相对估值'!K28</f>
        <v>38.9312740498132</v>
      </c>
      <c r="P8" s="241">
        <v>8.265</v>
      </c>
      <c r="Q8" s="242" t="s">
        <v>83</v>
      </c>
    </row>
    <row r="9" ht="28" spans="2:18">
      <c r="B9" s="232" t="s">
        <v>96</v>
      </c>
      <c r="C9" s="233">
        <v>300024</v>
      </c>
      <c r="D9" s="234" t="s">
        <v>97</v>
      </c>
      <c r="E9" s="243" t="s">
        <v>86</v>
      </c>
      <c r="F9" s="236">
        <v>22.184812</v>
      </c>
      <c r="G9" s="237">
        <v>-0.0912150168322364</v>
      </c>
      <c r="H9" s="238">
        <v>0.0394554616915392</v>
      </c>
      <c r="I9" s="238">
        <v>0.100480905585317</v>
      </c>
      <c r="J9" s="238">
        <v>0.0673372846251751</v>
      </c>
      <c r="K9" s="239">
        <f>可比公司营运情况!H9</f>
        <v>109.921869981528</v>
      </c>
      <c r="L9" s="239">
        <f>可比公司营运情况!L9</f>
        <v>111.022338803348</v>
      </c>
      <c r="M9" s="239">
        <f>可比公司营运情况!P9</f>
        <v>242.3916</v>
      </c>
      <c r="N9" s="240">
        <v>-22.44</v>
      </c>
      <c r="O9" s="241"/>
      <c r="P9" s="241">
        <v>5.3</v>
      </c>
      <c r="Q9" s="242" t="s">
        <v>83</v>
      </c>
    </row>
    <row r="10" ht="42" spans="2:18">
      <c r="B10" s="232" t="s">
        <v>98</v>
      </c>
      <c r="C10" s="233">
        <v>300260</v>
      </c>
      <c r="D10" s="234" t="s">
        <v>99</v>
      </c>
      <c r="E10" s="245" t="s">
        <v>91</v>
      </c>
      <c r="F10" s="236">
        <v>22.545876</v>
      </c>
      <c r="G10" s="237">
        <v>0.075145982351717</v>
      </c>
      <c r="H10" s="238">
        <v>0.0609880937870855</v>
      </c>
      <c r="I10" s="238">
        <v>0.0465805365025515</v>
      </c>
      <c r="J10" s="238">
        <v>0.0386394389821003</v>
      </c>
      <c r="K10" s="239">
        <f>可比公司营运情况!H10</f>
        <v>169.429770749855</v>
      </c>
      <c r="L10" s="239">
        <f>可比公司营运情况!L10</f>
        <v>83.3052865890696</v>
      </c>
      <c r="M10" s="239">
        <f>可比公司营运情况!P10</f>
        <v>123.282</v>
      </c>
      <c r="N10" s="240">
        <v>49.96</v>
      </c>
      <c r="O10" s="241">
        <f>N10/'二级可比 相对估值'!K30</f>
        <v>47.7450454367108</v>
      </c>
      <c r="P10" s="241">
        <v>4.83</v>
      </c>
      <c r="Q10" s="242" t="s">
        <v>83</v>
      </c>
    </row>
    <row r="11" spans="2:18">
      <c r="B11" s="232" t="s">
        <v>100</v>
      </c>
      <c r="C11" s="233"/>
      <c r="D11" s="234"/>
      <c r="E11" s="245"/>
      <c r="F11" s="236"/>
      <c r="G11" s="237"/>
      <c r="H11" s="238"/>
      <c r="I11" s="238"/>
      <c r="J11" s="238"/>
      <c r="K11" s="239"/>
      <c r="L11" s="239"/>
      <c r="M11" s="239"/>
      <c r="N11" s="240"/>
      <c r="O11" s="241"/>
      <c r="P11" s="241"/>
      <c r="Q11" s="242"/>
    </row>
    <row r="12" spans="2:18">
      <c r="B12" s="246" t="s">
        <v>101</v>
      </c>
      <c r="F12" s="247"/>
      <c r="G12" s="248" cm="1">
        <f t="array" ref="G12">MIN(IF($Q$3:$Q$10="Y",G$3:G$10))</f>
        <v>-0.0912150168322364</v>
      </c>
      <c r="H12" s="248" cm="1">
        <f t="array" ref="H12">MIN(IF($Q$3:$Q$10="Y",H$3:H$10))</f>
        <v>0.00442006872886294</v>
      </c>
      <c r="I12" s="248" cm="1">
        <f t="array" ref="I12">MIN(IF($Q$3:$Q$10="Y",I$3:I$10))</f>
        <v>0.0321608788455385</v>
      </c>
      <c r="J12" s="248" cm="1">
        <f t="array" ref="J12">MIN(IF($Q$3:$Q$10="Y",J$3:J$10))</f>
        <v>0.0386394389821003</v>
      </c>
      <c r="K12" s="249" cm="1">
        <f t="array" ref="K12">MIN(IF($Q$3:$Q$10="Y",K$3:K$10))</f>
        <v>89.0448885914689</v>
      </c>
      <c r="L12" s="249" cm="1">
        <f t="array" ref="L12">MIN(IF($Q$3:$Q$10="Y",L$3:L$10))</f>
        <v>32.1304073473672</v>
      </c>
      <c r="M12" s="249" cm="1">
        <f t="array" ref="M12">MIN(IF($Q$3:$Q$10="Y",M$3:M$10))</f>
        <v>111.1752</v>
      </c>
      <c r="N12" s="249" cm="1">
        <f t="array" ref="N12">MIN(IF($Q$3:$Q$10="Y",N$3:N$10))</f>
        <v>-22.44</v>
      </c>
      <c r="O12" s="249" cm="1">
        <f t="array" ref="O12">MIN(IF($Q$3:$Q$10="Y",O$3:O$10))</f>
        <v>0</v>
      </c>
      <c r="P12" s="249" cm="1">
        <f t="array" ref="P12">MIN(IF($Q$3:$Q$10="Y",P$3:P$10))</f>
        <v>4.83</v>
      </c>
      <c r="Q12" s="249"/>
    </row>
    <row r="13" spans="2:18">
      <c r="B13" s="250" t="s">
        <v>102</v>
      </c>
      <c r="F13" s="247"/>
      <c r="G13" s="248" cm="1">
        <f t="array" ref="G13">MAX(IF($Q$3:$Q$10="Y",G$3:G$10))</f>
        <v>0.289053663958015</v>
      </c>
      <c r="H13" s="248" cm="1">
        <f t="array" ref="H13">MAX(IF($Q$3:$Q$10="Y",H$3:H$10))</f>
        <v>0.0609880937870855</v>
      </c>
      <c r="I13" s="248" cm="1">
        <f t="array" ref="I13">MAX(IF($Q$3:$Q$10="Y",I$3:I$10))</f>
        <v>0.176590473523584</v>
      </c>
      <c r="J13" s="248" cm="1">
        <f t="array" ref="J13">MAX(IF($Q$3:$Q$10="Y",J$3:J$10))</f>
        <v>0.0964412360413577</v>
      </c>
      <c r="K13" s="249" cm="1">
        <f t="array" ref="K13">MAX(IF($Q$3:$Q$10="Y",K$3:K$10))</f>
        <v>169.429770749855</v>
      </c>
      <c r="L13" s="249" cm="1">
        <f t="array" ref="L13">MAX(IF($Q$3:$Q$10="Y",L$3:L$10))</f>
        <v>187.906920985678</v>
      </c>
      <c r="M13" s="249" cm="1">
        <f t="array" ref="M13">MAX(IF($Q$3:$Q$10="Y",M$3:M$10))</f>
        <v>532.4394</v>
      </c>
      <c r="N13" s="249" cm="1">
        <f t="array" ref="N13">MAX(IF($Q$3:$Q$10="Y",N$3:N$10))</f>
        <v>89.89</v>
      </c>
      <c r="O13" s="249" cm="1">
        <f t="array" ref="O13">MAX(IF($Q$3:$Q$10="Y",O$3:O$10))</f>
        <v>68.3849914101872</v>
      </c>
      <c r="P13" s="249" cm="1">
        <f t="array" ref="P13">MAX(IF($Q$3:$Q$10="Y",P$3:P$10))</f>
        <v>18.64</v>
      </c>
      <c r="Q13" s="249"/>
    </row>
    <row r="14" spans="2:18">
      <c r="B14" s="250" t="s">
        <v>103</v>
      </c>
      <c r="F14" s="251"/>
      <c r="G14" s="248" cm="1">
        <f t="array" ref="G14">MEDIAN(IF($Q$3:$Q$10="Y",G$3:G$10))</f>
        <v>0.132688411761081</v>
      </c>
      <c r="H14" s="248" cm="1">
        <f t="array" ref="H14">MEDIAN(IF($Q$3:$Q$10="Y",H$3:H$10))</f>
        <v>0.0242331475913925</v>
      </c>
      <c r="I14" s="248" cm="1">
        <f t="array" ref="I14">MEDIAN(IF($Q$3:$Q$10="Y",I$3:I$10))</f>
        <v>0.0674837929924013</v>
      </c>
      <c r="J14" s="248" cm="1">
        <f t="array" ref="J14">MEDIAN(IF($Q$3:$Q$10="Y",J$3:J$10))</f>
        <v>0.0674422396376491</v>
      </c>
      <c r="K14" s="247" cm="1">
        <f t="array" ref="K14">MEDIAN(IF($Q$3:$Q$10="Y",K$3:K$10))</f>
        <v>114.266392053897</v>
      </c>
      <c r="L14" s="247" cm="1">
        <f t="array" ref="L14">MEDIAN(IF($Q$3:$Q$10="Y",L$3:L$10))</f>
        <v>110.97463865394</v>
      </c>
      <c r="M14" s="247" cm="1">
        <f t="array" ref="M14">MEDIAN(IF($Q$3:$Q$10="Y",M$3:M$10))</f>
        <v>205.6625</v>
      </c>
      <c r="N14" s="247" cm="1">
        <f t="array" ref="N14">MEDIAN(IF($Q$3:$Q$10="Y",N$3:N$10))</f>
        <v>50.55</v>
      </c>
      <c r="O14" s="247" cm="1">
        <f t="array" ref="O14">MEDIAN(IF($Q$3:$Q$10="Y",O$3:O$10))</f>
        <v>36.5629174085437</v>
      </c>
      <c r="P14" s="247">
        <f>MEDIAN(P3:P10)</f>
        <v>7.4875</v>
      </c>
      <c r="Q14" s="252"/>
    </row>
    <row r="15" spans="2:18">
      <c r="B15" s="250"/>
      <c r="F15" s="251"/>
      <c r="G15" s="251"/>
      <c r="H15" s="253"/>
      <c r="I15" s="253"/>
      <c r="J15" s="253"/>
      <c r="K15" s="251"/>
      <c r="L15" s="251"/>
      <c r="M15" s="251"/>
      <c r="N15" s="252"/>
      <c r="O15" s="252"/>
      <c r="P15" s="252"/>
      <c r="Q15" s="252"/>
    </row>
    <row r="16" spans="2:18">
      <c r="G16" s="254"/>
      <c r="M16" s="228">
        <f>M14+K14</f>
        <v>319.928892053897</v>
      </c>
    </row>
    <row r="17" spans="2:13">
      <c r="B17" s="255" t="s">
        <v>104</v>
      </c>
      <c r="C17" s="256" t="s">
        <v>77</v>
      </c>
      <c r="D17" s="256"/>
      <c r="E17" s="256" t="s">
        <v>54</v>
      </c>
      <c r="F17" s="256"/>
    </row>
    <row r="18" spans="2:13">
      <c r="B18" s="257" t="s">
        <v>105</v>
      </c>
      <c r="C18" s="258" t="s">
        <v>4</v>
      </c>
      <c r="D18" s="258" t="s">
        <v>103</v>
      </c>
      <c r="E18" s="258" t="s">
        <v>4</v>
      </c>
      <c r="F18" s="258" t="s">
        <v>103</v>
      </c>
      <c r="M18" s="228">
        <f>L14*0.6</f>
        <v>66.5847831923637</v>
      </c>
    </row>
    <row r="19" spans="2:13">
      <c r="B19" s="244" t="s">
        <v>106</v>
      </c>
      <c r="C19" s="259">
        <f>'二级可比 相对估值'!K15</f>
        <v>3.04218565308851</v>
      </c>
      <c r="D19" s="259">
        <f>'二级可比 相对估值'!K16</f>
        <v>7.4875</v>
      </c>
      <c r="E19" s="259">
        <f>'二级可比 相对估值'!K6</f>
        <v>17.961659868904</v>
      </c>
      <c r="F19" s="259">
        <f>'二级可比 相对估值'!K7</f>
        <v>50.55</v>
      </c>
      <c r="G19" s="244" t="s">
        <v>107</v>
      </c>
      <c r="M19" s="228">
        <f>M16-M18</f>
        <v>253.344108861533</v>
      </c>
    </row>
    <row r="20" spans="2:13">
      <c r="B20" s="244" t="s">
        <v>108</v>
      </c>
      <c r="C20" s="260">
        <f>锐洁利润表!C3</f>
        <v>43221.541801</v>
      </c>
      <c r="D20" s="261">
        <f>C20</f>
        <v>43221.541801</v>
      </c>
      <c r="E20" s="260"/>
      <c r="F20" s="261"/>
      <c r="G20" s="244"/>
      <c r="M20" s="228">
        <f>M19/360</f>
        <v>0.70373363572648</v>
      </c>
    </row>
    <row r="21" spans="2:13">
      <c r="B21" s="244" t="s">
        <v>109</v>
      </c>
      <c r="C21" s="251"/>
      <c r="D21" s="251"/>
      <c r="E21" s="262">
        <f>锐洁利润表!C22/10000</f>
        <v>0.832607072923782</v>
      </c>
      <c r="F21" s="262">
        <f>E21</f>
        <v>0.832607072923782</v>
      </c>
    </row>
    <row r="22" ht="14.75" spans="2:13">
      <c r="B22" s="263" t="s">
        <v>110</v>
      </c>
      <c r="C22" s="264">
        <f>C20*C19</f>
        <v>131487.954371367</v>
      </c>
      <c r="D22" s="264">
        <f>D20*D19</f>
        <v>323621.294234987</v>
      </c>
      <c r="E22" s="265">
        <f>E21*E19</f>
        <v>14.9550050483007</v>
      </c>
      <c r="F22" s="265">
        <f>F21*F19</f>
        <v>42.0882875362972</v>
      </c>
    </row>
    <row r="23" spans="2:13">
      <c r="B23" s="266" t="s">
        <v>111</v>
      </c>
      <c r="C23" s="267">
        <v>0.3</v>
      </c>
      <c r="D23" s="267">
        <v>0.3</v>
      </c>
      <c r="E23" s="268">
        <v>0.3</v>
      </c>
      <c r="F23" s="268">
        <v>0.3</v>
      </c>
    </row>
    <row r="24" ht="14.75" spans="2:13">
      <c r="B24" s="263" t="s">
        <v>112</v>
      </c>
      <c r="C24" s="269">
        <f t="shared" ref="C24:F24" si="0">C22*(1-C23)</f>
        <v>92041.5680599572</v>
      </c>
      <c r="D24" s="269">
        <f t="shared" si="0"/>
        <v>226534.905964491</v>
      </c>
      <c r="E24" s="270">
        <f t="shared" si="0"/>
        <v>10.4685035338105</v>
      </c>
      <c r="F24" s="270">
        <f t="shared" si="0"/>
        <v>29.461801275408</v>
      </c>
    </row>
  </sheetData>
  <mergeCells count="2">
    <mergeCell ref="C17:D17"/>
    <mergeCell ref="E17:F17"/>
  </mergeCells>
  <conditionalFormatting sqref="Q3:Q11">
    <cfRule type="cellIs" dxfId="0" priority="1" operator="equal">
      <formula>"Y"</formula>
    </cfRule>
    <cfRule type="cellIs" dxfId="1" priority="2" operator="equal">
      <formula>"N"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AE48"/>
  <sheetViews>
    <sheetView zoomScale="70" zoomScaleNormal="70" topLeftCell="B15" workbookViewId="0">
      <selection activeCell="S26" sqref="S26"/>
    </sheetView>
  </sheetViews>
  <sheetFormatPr defaultColWidth="20.4545454545455" defaultRowHeight="12.5"/>
  <cols>
    <col min="1" max="1" width="25.7272727272727" style="134" customWidth="1"/>
    <col min="2" max="2" width="21.5363636363636" style="134" customWidth="1"/>
    <col min="3" max="3" width="25.3636363636364" style="134" customWidth="1"/>
    <col min="4" max="4" width="27.3636363636364" style="134" customWidth="1"/>
    <col min="5" max="5" width="14.6363636363636" style="134" customWidth="1"/>
    <col min="6" max="6" width="17.5363636363636" style="134" customWidth="1"/>
    <col min="7" max="7" width="25" style="134" customWidth="1"/>
    <col min="8" max="8" width="24.2636363636364" style="134" customWidth="1"/>
    <col min="9" max="13" width="17.5363636363636" style="134" customWidth="1"/>
    <col min="14" max="14" width="15.5363636363636" style="134" customWidth="1"/>
    <col min="15" max="15" width="26.1727272727273" style="134" customWidth="1"/>
    <col min="16" max="16" width="14.6363636363636" style="134" customWidth="1"/>
    <col min="17" max="17" width="17.6363636363636" style="134" customWidth="1"/>
    <col min="18" max="18" width="16.1727272727273" style="134" customWidth="1"/>
    <col min="19" max="19" width="19.3636363636364" style="134" customWidth="1"/>
    <col min="20" max="24" width="17.6363636363636" style="134" customWidth="1"/>
    <col min="25" max="25" width="26.9" style="134" customWidth="1"/>
    <col min="26" max="26" width="37.2636363636364" style="134" customWidth="1"/>
    <col min="27" max="27" width="99.7272727272727" style="134" customWidth="1"/>
    <col min="28" max="28" width="20.4545454545455" style="134"/>
    <col min="29" max="29" width="15.3636363636364" style="134" customWidth="1"/>
    <col min="30" max="31" width="20.4545454545455" style="134"/>
    <col min="32" max="32" width="21.4545454545455" style="134" customWidth="1"/>
    <col min="33" max="16384" width="20.4545454545455" style="134"/>
  </cols>
  <sheetData>
    <row r="1" ht="13.25"/>
    <row r="2" ht="16.5" spans="2:24">
      <c r="B2" s="135" t="s">
        <v>113</v>
      </c>
      <c r="C2" s="136"/>
      <c r="D2" s="136"/>
      <c r="E2" s="136"/>
      <c r="F2" s="136"/>
      <c r="G2" s="136"/>
      <c r="H2" s="136"/>
      <c r="I2" s="136"/>
      <c r="J2" s="136"/>
      <c r="K2" s="137"/>
      <c r="L2" s="138"/>
      <c r="X2" s="138"/>
    </row>
    <row r="3" ht="16.5" spans="2:24">
      <c r="B3" s="139"/>
      <c r="K3" s="140"/>
      <c r="L3" s="138"/>
      <c r="X3" s="138"/>
    </row>
    <row r="4" ht="16.5" spans="2:24">
      <c r="B4" s="139" t="s">
        <v>65</v>
      </c>
      <c r="K4" s="140"/>
    </row>
    <row r="5" ht="16.5" spans="2:24">
      <c r="B5" s="139"/>
      <c r="C5" s="141" t="s">
        <v>80</v>
      </c>
      <c r="D5" s="141" t="s">
        <v>84</v>
      </c>
      <c r="E5" s="141" t="s">
        <v>87</v>
      </c>
      <c r="F5" s="141" t="s">
        <v>89</v>
      </c>
      <c r="G5" s="141" t="s">
        <v>92</v>
      </c>
      <c r="H5" s="141" t="s">
        <v>94</v>
      </c>
      <c r="I5" s="141" t="s">
        <v>96</v>
      </c>
      <c r="J5" s="141" t="s">
        <v>98</v>
      </c>
      <c r="K5" s="142" t="s">
        <v>103</v>
      </c>
    </row>
    <row r="6" ht="16.5" spans="2:24">
      <c r="B6" s="325" t="s">
        <v>114</v>
      </c>
      <c r="C6" s="144">
        <f>C7-Q32</f>
        <v>57.301659868904</v>
      </c>
      <c r="D6" s="144">
        <f>D7-Q32</f>
        <v>31.211659868904</v>
      </c>
      <c r="E6" s="144">
        <f>E7-Q32</f>
        <v>18.551659868904</v>
      </c>
      <c r="F6" s="144">
        <f>F7-Q32</f>
        <v>2.28165986890403</v>
      </c>
      <c r="G6" s="144">
        <f>G7-$Q$32</f>
        <v>30.951659868904</v>
      </c>
      <c r="H6" s="144">
        <f>H7-$Q$32</f>
        <v>7.56165986890403</v>
      </c>
      <c r="I6" s="144">
        <f>I7-$Q$32</f>
        <v>-55.028340131096</v>
      </c>
      <c r="J6" s="145">
        <f>J7-$Q$32</f>
        <v>17.371659868904</v>
      </c>
      <c r="K6" s="146">
        <f t="shared" ref="K6:K9" si="0">MEDIAN(C6:J6)</f>
        <v>17.961659868904</v>
      </c>
      <c r="L6" s="147"/>
    </row>
    <row r="7" ht="16.5" spans="2:24">
      <c r="B7" s="143" t="s">
        <v>103</v>
      </c>
      <c r="C7" s="145">
        <f>Q23</f>
        <v>89.89</v>
      </c>
      <c r="D7" s="145">
        <f>Q24</f>
        <v>63.8</v>
      </c>
      <c r="E7" s="145">
        <f>Q25</f>
        <v>51.14</v>
      </c>
      <c r="F7" s="148">
        <f>Q26</f>
        <v>34.87</v>
      </c>
      <c r="G7" s="145">
        <f>Q27</f>
        <v>63.54</v>
      </c>
      <c r="H7" s="145">
        <f>Q28</f>
        <v>40.15</v>
      </c>
      <c r="I7" s="145">
        <f>Q29</f>
        <v>-22.44</v>
      </c>
      <c r="J7" s="145">
        <f>Q30</f>
        <v>49.96</v>
      </c>
      <c r="K7" s="146">
        <f t="shared" si="0"/>
        <v>50.55</v>
      </c>
      <c r="L7" s="147"/>
    </row>
    <row r="8" ht="16.5" spans="2:24">
      <c r="B8" s="325" t="s">
        <v>115</v>
      </c>
      <c r="C8" s="145">
        <f>C7+Q32</f>
        <v>122.478340131096</v>
      </c>
      <c r="D8" s="145">
        <f>D7+Q32</f>
        <v>96.388340131096</v>
      </c>
      <c r="E8" s="145">
        <f>E7+Q32</f>
        <v>83.728340131096</v>
      </c>
      <c r="F8" s="145">
        <f>F7+Q32</f>
        <v>67.458340131096</v>
      </c>
      <c r="G8" s="145">
        <f>G7+Q32</f>
        <v>96.128340131096</v>
      </c>
      <c r="H8" s="145">
        <f>H7+Q32</f>
        <v>72.738340131096</v>
      </c>
      <c r="I8" s="145">
        <f>I7+Q32</f>
        <v>10.148340131096</v>
      </c>
      <c r="J8" s="145">
        <f>J7+Q32</f>
        <v>82.548340131096</v>
      </c>
      <c r="K8" s="146">
        <f t="shared" si="0"/>
        <v>83.138340131096</v>
      </c>
    </row>
    <row r="9" ht="17.25" spans="2:24">
      <c r="B9" s="149" t="s">
        <v>116</v>
      </c>
      <c r="C9" s="150">
        <f>P23</f>
        <v>553.41</v>
      </c>
      <c r="D9" s="150">
        <f>P24</f>
        <v>62.72</v>
      </c>
      <c r="E9" s="150">
        <f>P25</f>
        <v>152.91</v>
      </c>
      <c r="F9" s="150">
        <f>P26</f>
        <v>126.33</v>
      </c>
      <c r="G9" s="150">
        <f>P27</f>
        <v>74.72</v>
      </c>
      <c r="H9" s="150">
        <f>P28</f>
        <v>53.72</v>
      </c>
      <c r="I9" s="150">
        <f>P29</f>
        <v>-101.79</v>
      </c>
      <c r="J9" s="150">
        <f>P30</f>
        <v>118.79</v>
      </c>
      <c r="K9" s="151">
        <f t="shared" si="0"/>
        <v>96.755</v>
      </c>
      <c r="L9" s="138"/>
      <c r="X9" s="138"/>
    </row>
    <row r="10" ht="13.25"/>
    <row r="11" ht="16.5" spans="2:24">
      <c r="B11" s="135" t="s">
        <v>117</v>
      </c>
      <c r="C11" s="136"/>
      <c r="D11" s="136"/>
      <c r="E11" s="136"/>
      <c r="F11" s="136"/>
      <c r="G11" s="136"/>
      <c r="H11" s="136"/>
      <c r="I11" s="136"/>
      <c r="J11" s="136"/>
      <c r="K11" s="137"/>
    </row>
    <row r="12" ht="16.5" spans="2:24">
      <c r="B12" s="139"/>
      <c r="K12" s="140"/>
    </row>
    <row r="13" ht="16.5" spans="2:24">
      <c r="B13" s="139" t="s">
        <v>65</v>
      </c>
      <c r="K13" s="140"/>
    </row>
    <row r="14" ht="16.5" spans="2:24">
      <c r="B14" s="139"/>
      <c r="C14" s="141" t="s">
        <v>80</v>
      </c>
      <c r="D14" s="141" t="s">
        <v>84</v>
      </c>
      <c r="E14" s="141" t="s">
        <v>87</v>
      </c>
      <c r="F14" s="141" t="s">
        <v>89</v>
      </c>
      <c r="G14" s="141" t="s">
        <v>92</v>
      </c>
      <c r="H14" s="141" t="s">
        <v>94</v>
      </c>
      <c r="I14" s="141" t="s">
        <v>96</v>
      </c>
      <c r="J14" s="141" t="s">
        <v>98</v>
      </c>
      <c r="K14" s="142" t="s">
        <v>103</v>
      </c>
    </row>
    <row r="15" ht="16.5" spans="2:24">
      <c r="B15" s="325" t="s">
        <v>114</v>
      </c>
      <c r="C15" s="145">
        <f>C16-N32</f>
        <v>1.93468565308851</v>
      </c>
      <c r="D15" s="145">
        <f>D16-N32</f>
        <v>6.19468565308851</v>
      </c>
      <c r="E15" s="145">
        <f>E16-N32</f>
        <v>14.1946856530885</v>
      </c>
      <c r="F15" s="145">
        <f>F16-N32</f>
        <v>3.65468565308851</v>
      </c>
      <c r="G15" s="145">
        <f>G16-N32</f>
        <v>2.42968565308851</v>
      </c>
      <c r="H15" s="145">
        <f>H16-N32</f>
        <v>3.81968565308851</v>
      </c>
      <c r="I15" s="145">
        <f>I16-N32</f>
        <v>0.854685653088508</v>
      </c>
      <c r="J15" s="145">
        <f>J16-N32</f>
        <v>0.384685653088508</v>
      </c>
      <c r="K15" s="146">
        <f t="shared" ref="K15:K18" si="1">MEDIAN(C15:J15)</f>
        <v>3.04218565308851</v>
      </c>
      <c r="L15" s="147"/>
    </row>
    <row r="16" ht="16.5" spans="2:24">
      <c r="B16" s="143" t="s">
        <v>103</v>
      </c>
      <c r="C16" s="145">
        <f>N23</f>
        <v>6.38</v>
      </c>
      <c r="D16" s="145">
        <f>N24</f>
        <v>10.64</v>
      </c>
      <c r="E16" s="145">
        <f>N25</f>
        <v>18.64</v>
      </c>
      <c r="F16" s="145">
        <f>N26</f>
        <v>8.1</v>
      </c>
      <c r="G16" s="145">
        <f>N27</f>
        <v>6.875</v>
      </c>
      <c r="H16" s="145">
        <f>N28</f>
        <v>8.265</v>
      </c>
      <c r="I16" s="145">
        <f>N29</f>
        <v>5.3</v>
      </c>
      <c r="J16" s="145">
        <f>N30</f>
        <v>4.83</v>
      </c>
      <c r="K16" s="146">
        <f t="shared" si="1"/>
        <v>7.4875</v>
      </c>
      <c r="L16" s="147"/>
    </row>
    <row r="17" ht="16.5" spans="1:31">
      <c r="B17" s="325" t="s">
        <v>115</v>
      </c>
      <c r="C17" s="145">
        <f>C16+N32</f>
        <v>10.8253143469115</v>
      </c>
      <c r="D17" s="145">
        <f>D16+N32</f>
        <v>15.0853143469115</v>
      </c>
      <c r="E17" s="145">
        <f>E16+N32</f>
        <v>23.0853143469115</v>
      </c>
      <c r="F17" s="145">
        <f>F16+N32</f>
        <v>12.5453143469115</v>
      </c>
      <c r="G17" s="145">
        <f>G16+N32</f>
        <v>11.3203143469115</v>
      </c>
      <c r="H17" s="145">
        <f>H16+N32</f>
        <v>12.7103143469115</v>
      </c>
      <c r="I17" s="145">
        <f>I16+N32</f>
        <v>9.74531434691149</v>
      </c>
      <c r="J17" s="145">
        <f>J16+N32</f>
        <v>9.27531434691149</v>
      </c>
      <c r="K17" s="146">
        <f t="shared" si="1"/>
        <v>11.9328143469115</v>
      </c>
    </row>
    <row r="18" ht="17.25" spans="1:31">
      <c r="B18" s="149" t="s">
        <v>116</v>
      </c>
      <c r="C18" s="150">
        <f>M23</f>
        <v>8.07</v>
      </c>
      <c r="D18" s="150">
        <f>M24</f>
        <v>10.19</v>
      </c>
      <c r="E18" s="150">
        <f>M25</f>
        <v>32.06</v>
      </c>
      <c r="F18" s="150">
        <f>M26</f>
        <v>10.93</v>
      </c>
      <c r="G18" s="150">
        <f>M27</f>
        <v>9</v>
      </c>
      <c r="H18" s="150">
        <f>M28</f>
        <v>7.14</v>
      </c>
      <c r="I18" s="150">
        <f>M29</f>
        <v>6.57</v>
      </c>
      <c r="J18" s="150">
        <f>M30</f>
        <v>7.01</v>
      </c>
      <c r="K18" s="152">
        <f t="shared" si="1"/>
        <v>8.535</v>
      </c>
    </row>
    <row r="20" ht="16.5" spans="1:31">
      <c r="B20" s="153" t="s">
        <v>118</v>
      </c>
      <c r="S20" s="148" t="s">
        <v>103</v>
      </c>
      <c r="AA20" s="148">
        <v>1.15</v>
      </c>
    </row>
    <row r="21" ht="7.5" customHeight="1"/>
    <row r="22" ht="60" customHeight="1" spans="1:31">
      <c r="A22" s="154" t="s">
        <v>119</v>
      </c>
      <c r="B22" s="155" t="s">
        <v>120</v>
      </c>
      <c r="C22" s="155" t="s">
        <v>66</v>
      </c>
      <c r="D22" s="155" t="s">
        <v>121</v>
      </c>
      <c r="E22" s="155" t="s">
        <v>122</v>
      </c>
      <c r="F22" s="155" t="s">
        <v>123</v>
      </c>
      <c r="G22" s="155" t="s">
        <v>124</v>
      </c>
      <c r="H22" s="155" t="s">
        <v>125</v>
      </c>
      <c r="I22" s="155" t="s">
        <v>126</v>
      </c>
      <c r="J22" s="156" t="s">
        <v>127</v>
      </c>
      <c r="K22" s="156" t="s">
        <v>128</v>
      </c>
      <c r="L22" s="156" t="s">
        <v>78</v>
      </c>
      <c r="M22" s="155" t="s">
        <v>129</v>
      </c>
      <c r="N22" s="155" t="s">
        <v>130</v>
      </c>
      <c r="O22" s="155" t="s">
        <v>131</v>
      </c>
      <c r="P22" s="155" t="s">
        <v>132</v>
      </c>
      <c r="Q22" s="155" t="s">
        <v>133</v>
      </c>
      <c r="R22" s="155" t="s">
        <v>134</v>
      </c>
      <c r="S22" s="157" t="s">
        <v>135</v>
      </c>
    </row>
    <row r="23" ht="49" customHeight="1" spans="1:31">
      <c r="A23" s="158" t="s">
        <v>136</v>
      </c>
      <c r="B23" s="159" t="s">
        <v>80</v>
      </c>
      <c r="C23" s="159">
        <v>688409</v>
      </c>
      <c r="D23" s="159" t="s">
        <v>137</v>
      </c>
      <c r="E23" s="160">
        <v>278.93</v>
      </c>
      <c r="F23" s="161">
        <v>303956.794282</v>
      </c>
      <c r="G23" s="161">
        <v>16500.8736</v>
      </c>
      <c r="H23" s="161">
        <v>273015.2726</v>
      </c>
      <c r="I23" s="161">
        <v>2615.9516</v>
      </c>
      <c r="J23" s="162">
        <v>399542</v>
      </c>
      <c r="K23" s="163">
        <f>J23/F23</f>
        <v>1.31446971252539</v>
      </c>
      <c r="L23" s="162">
        <f>M23/K23</f>
        <v>6.13935788942274</v>
      </c>
      <c r="M23" s="164">
        <v>8.07</v>
      </c>
      <c r="N23" s="165">
        <v>6.38</v>
      </c>
      <c r="O23" s="165">
        <v>4.89513369344846</v>
      </c>
      <c r="P23" s="165">
        <v>553.41</v>
      </c>
      <c r="Q23" s="165">
        <v>89.89</v>
      </c>
      <c r="R23" s="165">
        <v>136.84140632131</v>
      </c>
      <c r="S23" s="160" t="s">
        <v>81</v>
      </c>
      <c r="AB23" s="166"/>
      <c r="AE23" s="147"/>
    </row>
    <row r="24" ht="49" customHeight="1" spans="1:31">
      <c r="A24" s="158"/>
      <c r="B24" s="159" t="s">
        <v>84</v>
      </c>
      <c r="C24" s="159">
        <v>688605</v>
      </c>
      <c r="D24" s="159" t="s">
        <v>137</v>
      </c>
      <c r="E24" s="160">
        <v>125.88</v>
      </c>
      <c r="F24" s="161">
        <v>113577.413009</v>
      </c>
      <c r="G24" s="161">
        <v>21394.6187</v>
      </c>
      <c r="H24" s="161">
        <v>96855.9587</v>
      </c>
      <c r="I24" s="161">
        <v>16183.8511</v>
      </c>
      <c r="J24" s="162"/>
      <c r="K24" s="163">
        <f t="shared" ref="K24:K30" si="2">J24/F24</f>
        <v>0</v>
      </c>
      <c r="L24" s="162" t="e">
        <f>M24/K24</f>
        <v>#DIV/0!</v>
      </c>
      <c r="M24" s="164">
        <v>10.19</v>
      </c>
      <c r="N24" s="165">
        <v>10.64</v>
      </c>
      <c r="O24" s="165">
        <v>1.60029184353859</v>
      </c>
      <c r="P24" s="165">
        <v>62.72</v>
      </c>
      <c r="Q24" s="165">
        <v>63.8</v>
      </c>
      <c r="R24" s="165">
        <v>6.48526120448247</v>
      </c>
      <c r="S24" s="160" t="s">
        <v>85</v>
      </c>
      <c r="AE24" s="147"/>
    </row>
    <row r="25" ht="49" customHeight="1" spans="1:31">
      <c r="A25" s="158"/>
      <c r="B25" s="159" t="s">
        <v>87</v>
      </c>
      <c r="C25" s="159">
        <v>688233</v>
      </c>
      <c r="D25" s="159" t="s">
        <v>137</v>
      </c>
      <c r="E25" s="160">
        <v>129.72</v>
      </c>
      <c r="F25" s="161">
        <v>30272.951481</v>
      </c>
      <c r="G25" s="161">
        <v>4674.8283</v>
      </c>
      <c r="H25" s="161">
        <v>31599.9833</v>
      </c>
      <c r="I25" s="161">
        <v>8248.8071</v>
      </c>
      <c r="J25" s="162">
        <v>45275</v>
      </c>
      <c r="K25" s="163">
        <f t="shared" si="2"/>
        <v>1.49555949403928</v>
      </c>
      <c r="L25" s="162">
        <f t="shared" ref="L25:L30" si="3">M25/K25</f>
        <v>21.4367934727965</v>
      </c>
      <c r="M25" s="164">
        <v>32.06</v>
      </c>
      <c r="N25" s="165">
        <v>18.64</v>
      </c>
      <c r="O25" s="165">
        <v>7.54472252542792</v>
      </c>
      <c r="P25" s="165">
        <v>152.91</v>
      </c>
      <c r="Q25" s="165">
        <v>51.14</v>
      </c>
      <c r="R25" s="165">
        <v>2241.88922238263</v>
      </c>
      <c r="S25" s="167" t="s">
        <v>88</v>
      </c>
      <c r="AE25" s="147"/>
    </row>
    <row r="26" ht="49" customHeight="1" spans="1:31">
      <c r="A26" s="158"/>
      <c r="B26" s="168" t="s">
        <v>89</v>
      </c>
      <c r="C26" s="168">
        <v>835179</v>
      </c>
      <c r="D26" s="159" t="s">
        <v>138</v>
      </c>
      <c r="E26" s="167">
        <v>32.42</v>
      </c>
      <c r="F26" s="161">
        <v>30630.35323</v>
      </c>
      <c r="G26" s="169">
        <v>4032.7796</v>
      </c>
      <c r="H26" s="169">
        <v>22212.414</v>
      </c>
      <c r="I26" s="169">
        <v>2839.6053</v>
      </c>
      <c r="J26" s="170">
        <v>31400</v>
      </c>
      <c r="K26" s="163">
        <f t="shared" si="2"/>
        <v>1.02512693093092</v>
      </c>
      <c r="L26" s="162">
        <f t="shared" si="3"/>
        <v>10.6620942931179</v>
      </c>
      <c r="M26" s="171">
        <v>10.93</v>
      </c>
      <c r="N26" s="172">
        <v>8.1</v>
      </c>
      <c r="O26" s="172">
        <v>2.02987684728987</v>
      </c>
      <c r="P26" s="172">
        <v>126.33</v>
      </c>
      <c r="Q26" s="172">
        <v>34.87</v>
      </c>
      <c r="R26" s="173">
        <v>32.6454943472161</v>
      </c>
      <c r="S26" s="160" t="s">
        <v>90</v>
      </c>
      <c r="AE26" s="147"/>
    </row>
    <row r="27" ht="49" customHeight="1" spans="1:31">
      <c r="A27" s="158"/>
      <c r="B27" s="168" t="s">
        <v>92</v>
      </c>
      <c r="C27" s="168">
        <v>300666</v>
      </c>
      <c r="D27" s="159" t="s">
        <v>139</v>
      </c>
      <c r="E27" s="174">
        <v>384.45</v>
      </c>
      <c r="F27" s="161">
        <v>360496.284784</v>
      </c>
      <c r="G27" s="169">
        <v>27367.7989</v>
      </c>
      <c r="H27" s="169">
        <v>329115.6207</v>
      </c>
      <c r="I27" s="169">
        <v>36138.2853</v>
      </c>
      <c r="J27" s="170">
        <v>458709</v>
      </c>
      <c r="K27" s="163">
        <f t="shared" si="2"/>
        <v>1.27243752393966</v>
      </c>
      <c r="L27" s="162">
        <f t="shared" si="3"/>
        <v>7.07303881776029</v>
      </c>
      <c r="M27" s="171">
        <v>9</v>
      </c>
      <c r="N27" s="172">
        <v>6.875</v>
      </c>
      <c r="O27" s="172">
        <v>1.82555632289745</v>
      </c>
      <c r="P27" s="172">
        <v>74.72</v>
      </c>
      <c r="Q27" s="172">
        <v>63.54</v>
      </c>
      <c r="R27" s="173">
        <v>22.328347992035</v>
      </c>
      <c r="S27" s="160" t="s">
        <v>93</v>
      </c>
      <c r="AE27" s="147"/>
    </row>
    <row r="28" ht="49" customHeight="1" spans="1:31">
      <c r="A28" s="158"/>
      <c r="B28" s="168" t="s">
        <v>94</v>
      </c>
      <c r="C28" s="168">
        <v>300820</v>
      </c>
      <c r="D28" s="159" t="s">
        <v>139</v>
      </c>
      <c r="E28" s="174">
        <v>114.28</v>
      </c>
      <c r="F28" s="161">
        <v>178026.946838</v>
      </c>
      <c r="G28" s="169">
        <v>33535.7069</v>
      </c>
      <c r="H28" s="169">
        <v>114974.4687</v>
      </c>
      <c r="I28" s="169">
        <v>19624.596</v>
      </c>
      <c r="J28" s="170">
        <v>183600</v>
      </c>
      <c r="K28" s="163">
        <f t="shared" si="2"/>
        <v>1.03130454833375</v>
      </c>
      <c r="L28" s="162">
        <f t="shared" si="3"/>
        <v>6.92327015481111</v>
      </c>
      <c r="M28" s="171">
        <v>7.14</v>
      </c>
      <c r="N28" s="172">
        <v>8.265</v>
      </c>
      <c r="O28" s="172">
        <v>3.49540579173975</v>
      </c>
      <c r="P28" s="172">
        <v>53.72</v>
      </c>
      <c r="Q28" s="172">
        <v>40.15</v>
      </c>
      <c r="R28" s="173">
        <v>13.1996940707338</v>
      </c>
      <c r="S28" s="160" t="s">
        <v>95</v>
      </c>
      <c r="AE28" s="147"/>
    </row>
    <row r="29" ht="49" customHeight="1" spans="1:31">
      <c r="A29" s="158"/>
      <c r="B29" s="168" t="s">
        <v>96</v>
      </c>
      <c r="C29" s="168">
        <v>300024</v>
      </c>
      <c r="D29" s="159" t="s">
        <v>139</v>
      </c>
      <c r="E29" s="174">
        <v>258.01</v>
      </c>
      <c r="F29" s="161">
        <v>413848.531256</v>
      </c>
      <c r="G29" s="169">
        <v>-19652.2632</v>
      </c>
      <c r="H29" s="169">
        <v>221848.1159</v>
      </c>
      <c r="I29" s="169">
        <v>-15475.4639</v>
      </c>
      <c r="J29" s="170"/>
      <c r="K29" s="163">
        <f t="shared" si="2"/>
        <v>0</v>
      </c>
      <c r="L29" s="162" t="e">
        <f t="shared" si="3"/>
        <v>#DIV/0!</v>
      </c>
      <c r="M29" s="171">
        <v>6.57</v>
      </c>
      <c r="N29" s="172">
        <v>5.3</v>
      </c>
      <c r="O29" s="172">
        <v>1.30277231439838</v>
      </c>
      <c r="P29" s="172">
        <v>-101.79</v>
      </c>
      <c r="Q29" s="172">
        <v>-22.44</v>
      </c>
      <c r="R29" s="173">
        <v>268.799828631331</v>
      </c>
      <c r="S29" s="160" t="s">
        <v>97</v>
      </c>
      <c r="AE29" s="147"/>
    </row>
    <row r="30" ht="49" customHeight="1" spans="1:31">
      <c r="A30" s="158"/>
      <c r="B30" s="168" t="s">
        <v>98</v>
      </c>
      <c r="C30" s="168">
        <v>300260</v>
      </c>
      <c r="D30" s="159" t="s">
        <v>139</v>
      </c>
      <c r="E30" s="174">
        <v>206.15</v>
      </c>
      <c r="F30" s="161">
        <v>284901.069966</v>
      </c>
      <c r="G30" s="169">
        <v>22625.0428</v>
      </c>
      <c r="H30" s="169">
        <v>225458.7559</v>
      </c>
      <c r="I30" s="169">
        <v>14452.0078</v>
      </c>
      <c r="J30" s="170">
        <v>298118</v>
      </c>
      <c r="K30" s="163">
        <f t="shared" si="2"/>
        <v>1.04639129658438</v>
      </c>
      <c r="L30" s="162">
        <f t="shared" si="3"/>
        <v>6.69921474202048</v>
      </c>
      <c r="M30" s="171">
        <v>7.01</v>
      </c>
      <c r="N30" s="172">
        <v>4.83</v>
      </c>
      <c r="O30" s="172">
        <v>1.6868674939612</v>
      </c>
      <c r="P30" s="172">
        <v>118.79</v>
      </c>
      <c r="Q30" s="172">
        <v>49.96</v>
      </c>
      <c r="R30" s="173">
        <v>26.4371297393872</v>
      </c>
      <c r="S30" s="160" t="s">
        <v>99</v>
      </c>
      <c r="AE30" s="147"/>
    </row>
    <row r="31" ht="36" customHeight="1" spans="1:31">
      <c r="A31" s="175"/>
      <c r="B31" s="176"/>
      <c r="C31" s="177"/>
      <c r="D31" s="177"/>
      <c r="E31" s="177"/>
      <c r="F31" s="177"/>
      <c r="G31" s="177"/>
      <c r="H31" s="177"/>
      <c r="I31" s="178" t="s">
        <v>103</v>
      </c>
      <c r="J31" s="162">
        <f>MEDIAN(J23:J30)</f>
        <v>240859</v>
      </c>
      <c r="K31" s="179">
        <f>MEDIAN(K23:K30)</f>
        <v>1.03884792245906</v>
      </c>
      <c r="L31" s="179">
        <v>2.9864505774876</v>
      </c>
      <c r="M31" s="180" t="s">
        <v>140</v>
      </c>
      <c r="N31" s="181">
        <f>MEDIAN(N23:N30)</f>
        <v>7.4875</v>
      </c>
      <c r="O31" s="181"/>
      <c r="P31" s="180" t="s">
        <v>141</v>
      </c>
      <c r="Q31" s="181">
        <f>MEDIAN(Q23:Q30)</f>
        <v>50.55</v>
      </c>
      <c r="R31" s="182"/>
      <c r="S31" s="181"/>
      <c r="AE31" s="147"/>
    </row>
    <row r="32" ht="36" customHeight="1" spans="1:31">
      <c r="B32" s="183"/>
      <c r="C32" s="95"/>
      <c r="D32" s="95"/>
      <c r="E32" s="95"/>
      <c r="F32" s="95"/>
      <c r="G32" s="95"/>
      <c r="H32" s="95"/>
      <c r="I32" s="184" t="s">
        <v>142</v>
      </c>
      <c r="J32" s="162">
        <f>STDEV(J23:J30)</f>
        <v>179547.657668561</v>
      </c>
      <c r="K32" s="179">
        <f>STDEV(K23:K30)</f>
        <v>0.578111081506533</v>
      </c>
      <c r="L32" s="179">
        <v>3.34136556489105</v>
      </c>
      <c r="M32" s="185" t="s">
        <v>142</v>
      </c>
      <c r="N32" s="185">
        <f>STDEV(N23:N30)</f>
        <v>4.44531434691149</v>
      </c>
      <c r="O32" s="186"/>
      <c r="P32" s="185" t="s">
        <v>142</v>
      </c>
      <c r="Q32" s="186">
        <f>STDEV(Q23:Q30)</f>
        <v>32.588340131096</v>
      </c>
      <c r="R32" s="187"/>
      <c r="AB32" s="188"/>
      <c r="AE32" s="147"/>
    </row>
    <row r="33" ht="16.5" spans="3:16">
      <c r="I33" s="189" t="s">
        <v>143</v>
      </c>
      <c r="J33" s="190">
        <f>AVERAGE(J23:J30)</f>
        <v>236107.333333333</v>
      </c>
      <c r="K33" s="191">
        <f>AVERAGE(K23:K30)</f>
        <v>0.898161188294173</v>
      </c>
      <c r="L33" s="191">
        <v>4.5261039010895</v>
      </c>
    </row>
    <row r="35" ht="66" spans="3:16">
      <c r="C35" s="192" t="s">
        <v>144</v>
      </c>
      <c r="D35" s="193" t="s">
        <v>145</v>
      </c>
      <c r="E35" s="194" t="s">
        <v>146</v>
      </c>
      <c r="F35" s="195" t="s">
        <v>147</v>
      </c>
      <c r="G35" s="196"/>
      <c r="H35" s="197"/>
      <c r="I35" s="197"/>
      <c r="J35" s="192"/>
      <c r="K35" s="198" t="s">
        <v>148</v>
      </c>
      <c r="L35" s="193" t="s">
        <v>145</v>
      </c>
      <c r="M35" s="194" t="s">
        <v>149</v>
      </c>
      <c r="N35" s="195" t="s">
        <v>150</v>
      </c>
      <c r="O35" s="196"/>
      <c r="P35" s="199" t="s">
        <v>151</v>
      </c>
    </row>
    <row r="36" ht="21.5" spans="3:16">
      <c r="C36" s="192"/>
      <c r="D36" s="200"/>
      <c r="E36" s="201"/>
      <c r="F36" s="202" t="s">
        <v>152</v>
      </c>
      <c r="G36" s="203" t="s">
        <v>153</v>
      </c>
      <c r="H36" s="204"/>
      <c r="I36" s="204"/>
      <c r="J36" s="204"/>
      <c r="K36" s="204"/>
      <c r="L36" s="200"/>
      <c r="M36" s="201"/>
      <c r="N36" s="202" t="s">
        <v>152</v>
      </c>
      <c r="O36" s="203" t="s">
        <v>153</v>
      </c>
      <c r="P36" s="205"/>
    </row>
    <row r="37" ht="33" spans="3:16">
      <c r="C37" s="192"/>
      <c r="D37" s="206" t="s">
        <v>154</v>
      </c>
      <c r="E37" s="207">
        <v>4.14</v>
      </c>
      <c r="F37" s="208">
        <f>E37*K15</f>
        <v>12.5946486037864</v>
      </c>
      <c r="G37" s="209">
        <f>E37*K16</f>
        <v>30.99825</v>
      </c>
      <c r="H37" s="210"/>
      <c r="I37" s="210"/>
      <c r="J37" s="210"/>
      <c r="K37" s="210"/>
      <c r="L37" s="206" t="s">
        <v>154</v>
      </c>
      <c r="M37" s="211">
        <v>0.87</v>
      </c>
      <c r="N37" s="208">
        <f>M37*K6</f>
        <v>15.6266440859465</v>
      </c>
      <c r="O37" s="209">
        <f>M37*K7</f>
        <v>43.9785</v>
      </c>
      <c r="P37" s="212" t="s">
        <v>155</v>
      </c>
    </row>
    <row r="38" ht="21.5" spans="3:16">
      <c r="C38" s="192"/>
      <c r="D38" s="206" t="s">
        <v>156</v>
      </c>
      <c r="E38" s="213">
        <v>0.18</v>
      </c>
      <c r="F38" s="214">
        <f>E38*4</f>
        <v>0.72</v>
      </c>
      <c r="G38" s="215">
        <f>E38*9</f>
        <v>1.62</v>
      </c>
      <c r="H38" s="210"/>
      <c r="I38" s="210"/>
      <c r="J38" s="210"/>
      <c r="K38" s="210"/>
      <c r="L38" s="206"/>
      <c r="M38" s="213"/>
      <c r="N38" s="214"/>
      <c r="O38" s="215"/>
      <c r="P38" s="216"/>
    </row>
    <row r="39" ht="22.25" spans="3:16">
      <c r="C39" s="192"/>
      <c r="D39" s="217" t="s">
        <v>157</v>
      </c>
      <c r="E39" s="218">
        <f t="shared" ref="E39:G39" si="4">SUM(E37:E38)</f>
        <v>4.32</v>
      </c>
      <c r="F39" s="218">
        <f t="shared" si="4"/>
        <v>13.3146486037864</v>
      </c>
      <c r="G39" s="218">
        <f t="shared" si="4"/>
        <v>32.61825</v>
      </c>
      <c r="H39" s="219"/>
      <c r="I39" s="219"/>
      <c r="J39" s="219"/>
      <c r="K39" s="219"/>
      <c r="L39" s="217" t="s">
        <v>157</v>
      </c>
      <c r="M39" s="218">
        <f t="shared" ref="M39:O39" si="5">SUM(M37:M38)</f>
        <v>0.87</v>
      </c>
      <c r="N39" s="218">
        <f t="shared" si="5"/>
        <v>15.6266440859465</v>
      </c>
      <c r="O39" s="218">
        <f t="shared" si="5"/>
        <v>43.9785</v>
      </c>
      <c r="P39" s="220"/>
    </row>
    <row r="40" ht="21.5" spans="3:16">
      <c r="C40" s="192"/>
    </row>
    <row r="41" ht="21.5" spans="3:16">
      <c r="C41" s="192"/>
    </row>
    <row r="42" ht="21.5" spans="3:16">
      <c r="C42" s="192"/>
    </row>
    <row r="43" ht="22.25" spans="3:16">
      <c r="C43" s="192"/>
    </row>
    <row r="44" ht="33" spans="3:16">
      <c r="C44" s="192" t="s">
        <v>78</v>
      </c>
      <c r="D44" s="193" t="s">
        <v>145</v>
      </c>
      <c r="E44" s="194" t="s">
        <v>146</v>
      </c>
      <c r="F44" s="195" t="s">
        <v>158</v>
      </c>
      <c r="G44" s="196"/>
      <c r="H44" s="199" t="s">
        <v>159</v>
      </c>
    </row>
    <row r="45" ht="21.5" spans="3:16">
      <c r="C45" s="192"/>
      <c r="D45" s="200"/>
      <c r="E45" s="201"/>
      <c r="F45" s="202" t="s">
        <v>152</v>
      </c>
      <c r="G45" s="203" t="s">
        <v>153</v>
      </c>
      <c r="H45" s="205"/>
    </row>
    <row r="46" ht="33" spans="3:16">
      <c r="C46" s="192"/>
      <c r="D46" s="221"/>
      <c r="E46" s="211"/>
      <c r="F46" s="208"/>
      <c r="G46" s="209"/>
      <c r="H46" s="212" t="s">
        <v>160</v>
      </c>
    </row>
    <row r="47" ht="21.5" spans="3:16">
      <c r="C47" s="192"/>
      <c r="D47" s="221"/>
      <c r="E47" s="222"/>
      <c r="F47" s="208"/>
      <c r="G47" s="209"/>
      <c r="H47" s="212"/>
    </row>
    <row r="48" ht="17.25" spans="3:16">
      <c r="D48" s="223" t="s">
        <v>157</v>
      </c>
      <c r="E48" s="224"/>
      <c r="F48" s="225"/>
      <c r="G48" s="226"/>
      <c r="H48" s="227"/>
    </row>
  </sheetData>
  <mergeCells count="10">
    <mergeCell ref="F35:G35"/>
    <mergeCell ref="N35:O35"/>
    <mergeCell ref="F44:G44"/>
    <mergeCell ref="A23:A30"/>
    <mergeCell ref="D35:D36"/>
    <mergeCell ref="D44:D45"/>
    <mergeCell ref="E35:E36"/>
    <mergeCell ref="E44:E45"/>
    <mergeCell ref="L35:L36"/>
    <mergeCell ref="M35:M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Q75"/>
  <sheetViews>
    <sheetView workbookViewId="0">
      <selection activeCell="N39" sqref="N39"/>
    </sheetView>
  </sheetViews>
  <sheetFormatPr defaultColWidth="9" defaultRowHeight="16.5"/>
  <cols>
    <col min="1" max="1" width="20" style="127" customWidth="1"/>
    <col min="2" max="2" width="12.1727272727273" style="127" customWidth="1"/>
    <col min="3" max="8" width="10.3636363636364" style="127" customWidth="1"/>
    <col min="9" max="9" width="9" style="127"/>
    <col min="10" max="10" width="9.17272727272727" style="127"/>
    <col min="11" max="16384" width="9" style="127"/>
  </cols>
  <sheetData>
    <row r="1" spans="1:17">
      <c r="A1" s="127" t="s">
        <v>80</v>
      </c>
      <c r="B1" s="128" t="s">
        <v>161</v>
      </c>
      <c r="C1" s="128" t="str">
        <f t="shared" ref="C1:H1" si="0">C42</f>
        <v>2024 年报</v>
      </c>
      <c r="D1" s="128" t="str">
        <f t="shared" si="0"/>
        <v>2023 年报</v>
      </c>
      <c r="E1" s="128" t="str">
        <f t="shared" si="0"/>
        <v>2022 年报</v>
      </c>
      <c r="F1" s="128" t="str">
        <f t="shared" si="0"/>
        <v>2021 年报</v>
      </c>
      <c r="G1" s="128" t="str">
        <f t="shared" si="0"/>
        <v>2020 年报</v>
      </c>
      <c r="H1" s="128" t="str">
        <f t="shared" si="0"/>
        <v>2019 年报</v>
      </c>
      <c r="M1" s="127" t="s">
        <v>103</v>
      </c>
      <c r="N1" s="128">
        <f>MEDIAN(J17,J22,J27,J32,J37,J73,J2,J7,J12)</f>
        <v>0.0237901154995576</v>
      </c>
      <c r="P1" s="127" t="s">
        <v>162</v>
      </c>
      <c r="Q1" s="128">
        <v>0.055</v>
      </c>
    </row>
    <row r="2" spans="1:17">
      <c r="A2" s="127" t="s">
        <v>163</v>
      </c>
      <c r="B2" s="128">
        <v>0.0219641194428429</v>
      </c>
      <c r="C2" s="128">
        <v>0.0199422095489296</v>
      </c>
      <c r="D2" s="128">
        <v>0.0177226651028807</v>
      </c>
      <c r="E2" s="128">
        <v>0.0186477723361895</v>
      </c>
      <c r="F2" s="128">
        <v>0.0185484247828503</v>
      </c>
      <c r="G2" s="128">
        <v>0.0253730893554591</v>
      </c>
      <c r="H2" s="128">
        <v>0</v>
      </c>
      <c r="J2" s="128">
        <f>MEDIAN(C2:H2)</f>
        <v>0.0185980985595199</v>
      </c>
      <c r="N2" s="128">
        <f>MEDIAN(J18,J23,J28,J33,J38,,J74,J3,J8,J13)</f>
        <v>0.0751057698105982</v>
      </c>
      <c r="Q2" s="128">
        <v>0.0749</v>
      </c>
    </row>
    <row r="3" spans="1:17">
      <c r="A3" s="127" t="s">
        <v>164</v>
      </c>
      <c r="B3" s="128">
        <v>0.11488049734361</v>
      </c>
      <c r="C3" s="128">
        <v>0.112434698366172</v>
      </c>
      <c r="D3" s="128">
        <v>0.106878407076073</v>
      </c>
      <c r="E3" s="128">
        <v>0.072094493925495</v>
      </c>
      <c r="F3" s="128">
        <v>0.0771966825448372</v>
      </c>
      <c r="G3" s="128">
        <v>0.0730148570763593</v>
      </c>
      <c r="H3" s="128">
        <v>0</v>
      </c>
      <c r="J3" s="128">
        <f>MEDIAN(C3:H3)</f>
        <v>0.0751057698105982</v>
      </c>
      <c r="N3" s="128">
        <f>MEDIAN(J19,J24,J29,J34,J39,J75,J4,J9,J14)</f>
        <v>0.0654960615746009</v>
      </c>
      <c r="Q3" s="128">
        <v>0.0756</v>
      </c>
    </row>
    <row r="4" spans="1:17">
      <c r="A4" s="127" t="s">
        <v>165</v>
      </c>
      <c r="B4" s="128">
        <v>0.0715304678745625</v>
      </c>
      <c r="C4" s="128">
        <v>0.0728386755235835</v>
      </c>
      <c r="D4" s="128">
        <v>0.0997292564915342</v>
      </c>
      <c r="E4" s="128">
        <v>0.0788936195505584</v>
      </c>
      <c r="F4" s="128">
        <v>0.088003935819013</v>
      </c>
      <c r="G4" s="128">
        <v>0.0767462181940221</v>
      </c>
      <c r="H4" s="128">
        <v>0</v>
      </c>
      <c r="J4" s="128">
        <f>MEDIAN(C4:H4)</f>
        <v>0.0778199188722903</v>
      </c>
    </row>
    <row r="6" spans="1:17">
      <c r="A6" s="127" t="s">
        <v>84</v>
      </c>
      <c r="B6" s="128" t="s">
        <v>161</v>
      </c>
      <c r="C6" s="128" t="str">
        <f t="shared" ref="C6:H6" si="1">C1</f>
        <v>2024 年报</v>
      </c>
      <c r="D6" s="128" t="str">
        <f t="shared" si="1"/>
        <v>2023 年报</v>
      </c>
      <c r="E6" s="128" t="str">
        <f t="shared" si="1"/>
        <v>2022 年报</v>
      </c>
      <c r="F6" s="128" t="str">
        <f t="shared" si="1"/>
        <v>2021 年报</v>
      </c>
      <c r="G6" s="128" t="str">
        <f t="shared" si="1"/>
        <v>2020 年报</v>
      </c>
      <c r="H6" s="128" t="str">
        <f t="shared" si="1"/>
        <v>2019 年报</v>
      </c>
    </row>
    <row r="7" spans="1:17">
      <c r="A7" s="127" t="s">
        <v>163</v>
      </c>
      <c r="B7" s="128">
        <v>0.00442006872886294</v>
      </c>
      <c r="C7" s="128">
        <v>0.00584772975541527</v>
      </c>
      <c r="D7" s="128">
        <v>0.00900026518830611</v>
      </c>
      <c r="E7" s="128">
        <v>0.0104713847579251</v>
      </c>
      <c r="F7" s="128">
        <v>0.0121518364660842</v>
      </c>
      <c r="G7" s="128">
        <v>0.0195474761988874</v>
      </c>
      <c r="H7" s="128">
        <v>0</v>
      </c>
      <c r="J7" s="128">
        <f>MEDIAN(C7:H7)</f>
        <v>0.00973582497311561</v>
      </c>
    </row>
    <row r="8" spans="1:17">
      <c r="A8" s="127" t="s">
        <v>164</v>
      </c>
      <c r="B8" s="128">
        <v>0.04129451610412</v>
      </c>
      <c r="C8" s="128">
        <v>0.0428925963358383</v>
      </c>
      <c r="D8" s="128">
        <v>0.065083019718427</v>
      </c>
      <c r="E8" s="128">
        <v>0.0576443493141207</v>
      </c>
      <c r="F8" s="128">
        <v>0.054857819429767</v>
      </c>
      <c r="G8" s="128">
        <v>0.450058349194126</v>
      </c>
      <c r="H8" s="128">
        <v>0</v>
      </c>
      <c r="J8" s="128">
        <f>MEDIAN(C8:H8)</f>
        <v>0.0562510843719439</v>
      </c>
    </row>
    <row r="9" spans="1:17">
      <c r="A9" s="127" t="s">
        <v>165</v>
      </c>
      <c r="B9" s="128">
        <v>0.0553574607076322</v>
      </c>
      <c r="C9" s="128">
        <v>0.0564224875351533</v>
      </c>
      <c r="D9" s="128">
        <v>0.0651029222890682</v>
      </c>
      <c r="E9" s="128">
        <v>0.0659425161724626</v>
      </c>
      <c r="F9" s="128">
        <v>0.0508464694384181</v>
      </c>
      <c r="G9" s="128">
        <v>0.0665582707998007</v>
      </c>
      <c r="H9" s="128">
        <v>0</v>
      </c>
      <c r="J9" s="128">
        <f>MEDIAN(C9:H9)</f>
        <v>0.0607627049121107</v>
      </c>
    </row>
    <row r="11" spans="1:17">
      <c r="A11" s="127" t="s">
        <v>87</v>
      </c>
      <c r="B11" s="128" t="str">
        <f t="shared" ref="B11:H11" si="2">B6</f>
        <v>2025三季报</v>
      </c>
      <c r="C11" s="128" t="str">
        <f t="shared" si="2"/>
        <v>2024 年报</v>
      </c>
      <c r="D11" s="128" t="str">
        <f t="shared" si="2"/>
        <v>2023 年报</v>
      </c>
      <c r="E11" s="128" t="str">
        <f t="shared" si="2"/>
        <v>2022 年报</v>
      </c>
      <c r="F11" s="128" t="str">
        <f t="shared" si="2"/>
        <v>2021 年报</v>
      </c>
      <c r="G11" s="128" t="str">
        <f t="shared" si="2"/>
        <v>2020 年报</v>
      </c>
      <c r="H11" s="128" t="str">
        <f t="shared" si="2"/>
        <v>2019 年报</v>
      </c>
    </row>
    <row r="12" spans="1:17">
      <c r="A12" s="127" t="s">
        <v>163</v>
      </c>
      <c r="B12" s="128">
        <v>0.0167474789541006</v>
      </c>
      <c r="C12" s="128">
        <v>0.0195924084042024</v>
      </c>
      <c r="D12" s="128">
        <v>0.0316922060648789</v>
      </c>
      <c r="E12" s="128">
        <v>0.0090387056514164</v>
      </c>
      <c r="F12" s="128">
        <v>0.00951845164100284</v>
      </c>
      <c r="G12" s="128">
        <v>0.0153817722770989</v>
      </c>
      <c r="H12" s="128">
        <v>0</v>
      </c>
      <c r="J12" s="128">
        <f t="shared" ref="J12:J14" si="3">MEDIAN(C12:H12)</f>
        <v>0.0124501119590509</v>
      </c>
    </row>
    <row r="13" spans="1:17">
      <c r="A13" s="127" t="s">
        <v>164</v>
      </c>
      <c r="B13" s="128">
        <v>0.0702244115344377</v>
      </c>
      <c r="C13" s="128">
        <v>0.120239355596333</v>
      </c>
      <c r="D13" s="128">
        <v>0.275652950533647</v>
      </c>
      <c r="E13" s="128">
        <v>0.0730052583606636</v>
      </c>
      <c r="F13" s="128">
        <v>0.0744185202434066</v>
      </c>
      <c r="G13" s="128">
        <v>0.11920144718177</v>
      </c>
      <c r="H13" s="128">
        <v>0</v>
      </c>
      <c r="J13" s="128">
        <f t="shared" si="3"/>
        <v>0.0968099837125883</v>
      </c>
    </row>
    <row r="14" spans="1:17">
      <c r="A14" s="127" t="s">
        <v>165</v>
      </c>
      <c r="B14" s="128">
        <v>0.0675471946501232</v>
      </c>
      <c r="C14" s="128">
        <v>0.0826080709015805</v>
      </c>
      <c r="D14" s="128">
        <v>0.166370936925141</v>
      </c>
      <c r="E14" s="128">
        <v>0.073021577730736</v>
      </c>
      <c r="F14" s="128">
        <v>0.073795802022452</v>
      </c>
      <c r="G14" s="128">
        <v>0.0931875740184021</v>
      </c>
      <c r="H14" s="128">
        <v>0</v>
      </c>
      <c r="J14" s="128">
        <f t="shared" si="3"/>
        <v>0.0782019364620163</v>
      </c>
    </row>
    <row r="16" spans="1:17">
      <c r="A16" s="127" t="s">
        <v>89</v>
      </c>
      <c r="B16" s="128" t="s">
        <v>161</v>
      </c>
      <c r="C16" s="128" t="str">
        <f t="shared" ref="C16:H16" si="4">C11</f>
        <v>2024 年报</v>
      </c>
      <c r="D16" s="128" t="str">
        <f t="shared" si="4"/>
        <v>2023 年报</v>
      </c>
      <c r="E16" s="128" t="str">
        <f t="shared" si="4"/>
        <v>2022 年报</v>
      </c>
      <c r="F16" s="128" t="str">
        <f t="shared" si="4"/>
        <v>2021 年报</v>
      </c>
      <c r="G16" s="128" t="str">
        <f t="shared" si="4"/>
        <v>2020 年报</v>
      </c>
      <c r="H16" s="128" t="str">
        <f t="shared" si="4"/>
        <v>2019 年报</v>
      </c>
    </row>
    <row r="17" spans="1:10">
      <c r="A17" s="127" t="s">
        <v>163</v>
      </c>
      <c r="B17" s="128">
        <v>0.0208230444152616</v>
      </c>
      <c r="C17" s="128">
        <v>0.0186915918362017</v>
      </c>
      <c r="D17" s="128">
        <v>0.0196192746309521</v>
      </c>
      <c r="E17" s="128">
        <v>0.0198189542714099</v>
      </c>
      <c r="F17" s="128">
        <v>0.0226130910726029</v>
      </c>
      <c r="G17" s="128">
        <v>0.0159620755468121</v>
      </c>
      <c r="H17" s="128">
        <v>0</v>
      </c>
      <c r="J17" s="128">
        <f t="shared" ref="J17:J19" si="5">MEDIAN(C17:H17)</f>
        <v>0.0191554332335769</v>
      </c>
    </row>
    <row r="18" spans="1:10">
      <c r="A18" s="127" t="s">
        <v>164</v>
      </c>
      <c r="B18" s="128">
        <v>0.176590473523584</v>
      </c>
      <c r="C18" s="128">
        <v>0.183661629723461</v>
      </c>
      <c r="D18" s="128">
        <v>0.132367432520115</v>
      </c>
      <c r="E18" s="128">
        <v>0.11892198903501</v>
      </c>
      <c r="F18" s="128">
        <v>0.102268843589572</v>
      </c>
      <c r="G18" s="128">
        <v>0.0785793740532799</v>
      </c>
      <c r="H18" s="128">
        <v>0</v>
      </c>
      <c r="J18" s="128">
        <f t="shared" si="5"/>
        <v>0.110595416312291</v>
      </c>
    </row>
    <row r="19" spans="1:10">
      <c r="A19" s="127" t="s">
        <v>165</v>
      </c>
      <c r="B19" s="128">
        <v>0.069565616698053</v>
      </c>
      <c r="C19" s="128">
        <v>0.0646920456344769</v>
      </c>
      <c r="D19" s="128">
        <v>0.0759575414390703</v>
      </c>
      <c r="E19" s="128">
        <v>0.0825145215597786</v>
      </c>
      <c r="F19" s="128">
        <v>0.0654867064607885</v>
      </c>
      <c r="G19" s="128">
        <v>0.0614474475172313</v>
      </c>
      <c r="H19" s="128">
        <v>0</v>
      </c>
      <c r="J19" s="128">
        <f t="shared" si="5"/>
        <v>0.0650893760476327</v>
      </c>
    </row>
    <row r="21" spans="1:10">
      <c r="A21" s="127" t="s">
        <v>92</v>
      </c>
      <c r="B21" s="128" t="s">
        <v>161</v>
      </c>
      <c r="C21" s="128" t="str">
        <f t="shared" ref="C21:H21" si="6">C16</f>
        <v>2024 年报</v>
      </c>
      <c r="D21" s="128" t="str">
        <f t="shared" si="6"/>
        <v>2023 年报</v>
      </c>
      <c r="E21" s="128" t="str">
        <f t="shared" si="6"/>
        <v>2022 年报</v>
      </c>
      <c r="F21" s="128" t="str">
        <f t="shared" si="6"/>
        <v>2021 年报</v>
      </c>
      <c r="G21" s="128" t="str">
        <f t="shared" si="6"/>
        <v>2020 年报</v>
      </c>
      <c r="H21" s="128" t="str">
        <f t="shared" si="6"/>
        <v>2019 年报</v>
      </c>
    </row>
    <row r="22" spans="1:10">
      <c r="A22" s="127" t="s">
        <v>163</v>
      </c>
      <c r="B22" s="128">
        <v>0.0265021757399421</v>
      </c>
      <c r="C22" s="128">
        <v>0.0317948634587852</v>
      </c>
      <c r="D22" s="128">
        <v>0.0336791629609466</v>
      </c>
      <c r="E22" s="128">
        <v>0.0331294414432837</v>
      </c>
      <c r="F22" s="128">
        <v>0.0356783655717154</v>
      </c>
      <c r="G22" s="128">
        <v>0.037481614473402</v>
      </c>
      <c r="H22" s="128">
        <v>0</v>
      </c>
      <c r="J22" s="128">
        <f t="shared" ref="J22:J24" si="7">MEDIAN(C22:H22)</f>
        <v>0.0334043022021151</v>
      </c>
    </row>
    <row r="23" spans="1:10">
      <c r="A23" s="127" t="s">
        <v>164</v>
      </c>
      <c r="B23" s="128">
        <v>0.0647431744503649</v>
      </c>
      <c r="C23" s="128">
        <v>0.0758157337989729</v>
      </c>
      <c r="D23" s="128">
        <v>0.0871577684667863</v>
      </c>
      <c r="E23" s="128">
        <v>0.0815517643649716</v>
      </c>
      <c r="F23" s="128">
        <v>0.0723042108893417</v>
      </c>
      <c r="G23" s="128">
        <v>0.0781451958976895</v>
      </c>
      <c r="H23" s="128">
        <v>0</v>
      </c>
      <c r="J23" s="128">
        <f t="shared" si="7"/>
        <v>0.0769804648483312</v>
      </c>
    </row>
    <row r="24" spans="1:10">
      <c r="A24" s="127" t="s">
        <v>165</v>
      </c>
      <c r="B24" s="128">
        <v>0.0589755357099125</v>
      </c>
      <c r="C24" s="128">
        <v>0.0602751850865146</v>
      </c>
      <c r="D24" s="128">
        <v>0.0660225754173783</v>
      </c>
      <c r="E24" s="128">
        <v>0.0531647393284658</v>
      </c>
      <c r="F24" s="128">
        <v>0.0616477928810028</v>
      </c>
      <c r="G24" s="128">
        <v>0.0632733000920841</v>
      </c>
      <c r="H24" s="128">
        <v>0</v>
      </c>
      <c r="J24" s="128">
        <f t="shared" si="7"/>
        <v>0.0609614889837587</v>
      </c>
    </row>
    <row r="26" spans="1:10">
      <c r="A26" s="127" t="s">
        <v>94</v>
      </c>
      <c r="B26" s="128" t="s">
        <v>161</v>
      </c>
      <c r="C26" s="128" t="str">
        <f t="shared" ref="C26:H26" si="8">C21</f>
        <v>2024 年报</v>
      </c>
      <c r="D26" s="128" t="str">
        <f t="shared" si="8"/>
        <v>2023 年报</v>
      </c>
      <c r="E26" s="128" t="str">
        <f t="shared" si="8"/>
        <v>2022 年报</v>
      </c>
      <c r="F26" s="128" t="str">
        <f t="shared" si="8"/>
        <v>2021 年报</v>
      </c>
      <c r="G26" s="128" t="str">
        <f t="shared" si="8"/>
        <v>2020 年报</v>
      </c>
      <c r="H26" s="128" t="str">
        <f t="shared" si="8"/>
        <v>2019 年报</v>
      </c>
    </row>
    <row r="27" spans="1:10">
      <c r="A27" s="127" t="s">
        <v>163</v>
      </c>
      <c r="B27" s="128">
        <v>0.0468689266408447</v>
      </c>
      <c r="C27" s="128">
        <v>0.0462972038784016</v>
      </c>
      <c r="D27" s="128">
        <v>0.0364192521246824</v>
      </c>
      <c r="E27" s="128">
        <v>0.04048785397907</v>
      </c>
      <c r="F27" s="128">
        <v>0.0589057095286901</v>
      </c>
      <c r="G27" s="128">
        <v>0.0512979647486789</v>
      </c>
      <c r="H27" s="128">
        <v>0</v>
      </c>
      <c r="J27" s="128">
        <f t="shared" ref="J27:J29" si="9">MEDIAN(C27:H27)</f>
        <v>0.0433925289287358</v>
      </c>
    </row>
    <row r="28" spans="1:10">
      <c r="A28" s="127" t="s">
        <v>164</v>
      </c>
      <c r="B28" s="128">
        <v>0.0321608788455385</v>
      </c>
      <c r="C28" s="128">
        <v>0.0331203786842385</v>
      </c>
      <c r="D28" s="128">
        <v>0.0298502259315811</v>
      </c>
      <c r="E28" s="128">
        <v>0.0344817988038569</v>
      </c>
      <c r="F28" s="128">
        <v>0.0459954627305683</v>
      </c>
      <c r="G28" s="128">
        <v>0.0517876192522643</v>
      </c>
      <c r="H28" s="128">
        <v>0</v>
      </c>
      <c r="J28" s="128">
        <f t="shared" si="9"/>
        <v>0.0338010887440477</v>
      </c>
    </row>
    <row r="29" spans="1:10">
      <c r="A29" s="127" t="s">
        <v>165</v>
      </c>
      <c r="B29" s="128">
        <v>0.0964412360413577</v>
      </c>
      <c r="C29" s="128">
        <v>0.0767393363757566</v>
      </c>
      <c r="D29" s="128">
        <v>0.0550661578273818</v>
      </c>
      <c r="E29" s="128">
        <v>0.0537421555104535</v>
      </c>
      <c r="F29" s="128">
        <v>0.0777634704353197</v>
      </c>
      <c r="G29" s="128">
        <v>0.0809824370912811</v>
      </c>
      <c r="H29" s="128">
        <v>0</v>
      </c>
      <c r="J29" s="128">
        <f t="shared" si="9"/>
        <v>0.0659027471015692</v>
      </c>
    </row>
    <row r="31" spans="1:10">
      <c r="A31" s="127" t="s">
        <v>96</v>
      </c>
      <c r="B31" s="128" t="s">
        <v>161</v>
      </c>
      <c r="C31" s="128" t="str">
        <f t="shared" ref="C31:H31" si="10">C26</f>
        <v>2024 年报</v>
      </c>
      <c r="D31" s="128" t="str">
        <f t="shared" si="10"/>
        <v>2023 年报</v>
      </c>
      <c r="E31" s="128" t="str">
        <f t="shared" si="10"/>
        <v>2022 年报</v>
      </c>
      <c r="F31" s="128" t="str">
        <f t="shared" si="10"/>
        <v>2021 年报</v>
      </c>
      <c r="G31" s="128" t="str">
        <f t="shared" si="10"/>
        <v>2020 年报</v>
      </c>
      <c r="H31" s="128" t="str">
        <f t="shared" si="10"/>
        <v>2019 年报</v>
      </c>
    </row>
    <row r="32" spans="1:10">
      <c r="A32" s="127" t="s">
        <v>163</v>
      </c>
      <c r="B32" s="128">
        <v>0.0394554616915392</v>
      </c>
      <c r="C32" s="128">
        <v>0.0280197201618669</v>
      </c>
      <c r="D32" s="128">
        <v>0.032304987837301</v>
      </c>
      <c r="E32" s="128">
        <v>0.0288298753692097</v>
      </c>
      <c r="F32" s="128">
        <v>0.0268411356248499</v>
      </c>
      <c r="G32" s="128">
        <v>0.0341600115895554</v>
      </c>
      <c r="H32" s="128">
        <v>0</v>
      </c>
      <c r="J32" s="128">
        <f t="shared" ref="J32:J34" si="11">MEDIAN(C32:H32)</f>
        <v>0.0284247977655383</v>
      </c>
    </row>
    <row r="33" customFormat="1" spans="1:12">
      <c r="A33" s="127" t="s">
        <v>164</v>
      </c>
      <c r="B33" s="128">
        <v>0.100480905585317</v>
      </c>
      <c r="C33" s="128">
        <v>0.0744928343710681</v>
      </c>
      <c r="D33" s="128">
        <v>0.0847320204036969</v>
      </c>
      <c r="E33" s="128">
        <v>0.106497677015949</v>
      </c>
      <c r="F33" s="128">
        <v>0.102276420412606</v>
      </c>
      <c r="G33" s="128">
        <v>0.115401276136987</v>
      </c>
      <c r="H33" s="128">
        <v>0</v>
      </c>
      <c r="J33" s="128">
        <f t="shared" si="11"/>
        <v>0.0935042204081515</v>
      </c>
    </row>
    <row r="34" customFormat="1" spans="1:12">
      <c r="A34" s="127" t="s">
        <v>165</v>
      </c>
      <c r="B34" s="128">
        <v>0.0673372846251751</v>
      </c>
      <c r="C34" s="128">
        <v>0.0548159975341703</v>
      </c>
      <c r="D34" s="128">
        <v>0.0498310024046065</v>
      </c>
      <c r="E34" s="128">
        <v>0.0976872068303741</v>
      </c>
      <c r="F34" s="128">
        <v>0.0931774636601582</v>
      </c>
      <c r="G34" s="128">
        <v>0.168929012506636</v>
      </c>
      <c r="H34" s="128">
        <v>0</v>
      </c>
      <c r="J34" s="128">
        <f t="shared" si="11"/>
        <v>0.0739967305971642</v>
      </c>
    </row>
    <row r="35" customFormat="1" spans="1:12">
      <c r="A35" s="127"/>
      <c r="B35" s="127"/>
    </row>
    <row r="36" customFormat="1" spans="1:12">
      <c r="A36" s="127" t="s">
        <v>98</v>
      </c>
      <c r="B36" s="128" t="s">
        <v>161</v>
      </c>
      <c r="C36" s="128" t="str">
        <f t="shared" ref="C36:H36" si="12">C31</f>
        <v>2024 年报</v>
      </c>
      <c r="D36" s="128" t="str">
        <f t="shared" si="12"/>
        <v>2023 年报</v>
      </c>
      <c r="E36" s="128" t="str">
        <f t="shared" si="12"/>
        <v>2022 年报</v>
      </c>
      <c r="F36" s="128" t="str">
        <f t="shared" si="12"/>
        <v>2021 年报</v>
      </c>
      <c r="G36" s="128" t="str">
        <f t="shared" si="12"/>
        <v>2020 年报</v>
      </c>
      <c r="H36" s="128" t="str">
        <f t="shared" si="12"/>
        <v>2019 年报</v>
      </c>
      <c r="I36" s="127"/>
    </row>
    <row r="37" customFormat="1" spans="1:12">
      <c r="A37" s="127" t="s">
        <v>163</v>
      </c>
      <c r="B37" s="128">
        <v>0.0609880937870855</v>
      </c>
      <c r="C37" s="128">
        <v>0.0589325269996353</v>
      </c>
      <c r="D37" s="128">
        <v>0.0589029414607824</v>
      </c>
      <c r="E37" s="128">
        <v>0.0479954669811323</v>
      </c>
      <c r="F37" s="128">
        <v>0.0571225649301262</v>
      </c>
      <c r="G37" s="128">
        <v>0.0679672652646104</v>
      </c>
      <c r="H37" s="128">
        <v>0</v>
      </c>
      <c r="I37" s="128"/>
      <c r="J37" s="128">
        <f t="shared" ref="J37:J39" si="13">MEDIAN(C37:H37)</f>
        <v>0.0580127531954543</v>
      </c>
    </row>
    <row r="38" customFormat="1" spans="1:12">
      <c r="A38" s="127" t="s">
        <v>164</v>
      </c>
      <c r="B38" s="128">
        <v>0.0465805365025515</v>
      </c>
      <c r="C38" s="128">
        <v>0.044878701227763</v>
      </c>
      <c r="D38" s="128">
        <v>0.0400870370289095</v>
      </c>
      <c r="E38" s="128">
        <v>0.0395805583535151</v>
      </c>
      <c r="F38" s="128">
        <v>0.0406121984374801</v>
      </c>
      <c r="G38" s="128">
        <v>0.0561362436653809</v>
      </c>
      <c r="H38" s="128">
        <v>0</v>
      </c>
      <c r="J38" s="128">
        <f t="shared" si="13"/>
        <v>0.0403496177331948</v>
      </c>
    </row>
    <row r="39" customFormat="1" spans="1:12">
      <c r="A39" s="127" t="s">
        <v>165</v>
      </c>
      <c r="B39" s="128">
        <v>0.0386394389821003</v>
      </c>
      <c r="C39" s="128">
        <v>0.0432264434808897</v>
      </c>
      <c r="D39" s="128">
        <v>0.0406961693594414</v>
      </c>
      <c r="E39" s="128">
        <v>0.0365729220136255</v>
      </c>
      <c r="F39" s="128">
        <v>0.0361772561427908</v>
      </c>
      <c r="G39" s="128">
        <v>0.0489761060678712</v>
      </c>
      <c r="H39" s="128">
        <v>0</v>
      </c>
      <c r="J39" s="128">
        <f t="shared" si="13"/>
        <v>0.0386345456865334</v>
      </c>
    </row>
    <row r="40" customFormat="1" spans="1:12">
      <c r="A40" s="127"/>
      <c r="B40" s="127"/>
    </row>
    <row r="41" spans="1:12">
      <c r="B41" s="127" t="s">
        <v>166</v>
      </c>
    </row>
    <row r="42" spans="1:12">
      <c r="A42" s="127" t="s">
        <v>167</v>
      </c>
      <c r="C42" s="127" t="s">
        <v>168</v>
      </c>
      <c r="D42" s="127" t="s">
        <v>169</v>
      </c>
      <c r="E42" s="127" t="s">
        <v>170</v>
      </c>
      <c r="F42" s="127" t="s">
        <v>171</v>
      </c>
      <c r="G42" s="127" t="s">
        <v>172</v>
      </c>
      <c r="H42" s="127" t="s">
        <v>173</v>
      </c>
      <c r="J42" s="127" t="s">
        <v>103</v>
      </c>
    </row>
    <row r="43" spans="1:12">
      <c r="A43" s="129" t="str">
        <f>A1</f>
        <v>富创精密</v>
      </c>
      <c r="B43" s="130"/>
      <c r="C43" s="130">
        <f t="shared" ref="C43:H43" si="14">C2</f>
        <v>0.0199422095489296</v>
      </c>
      <c r="D43" s="130">
        <f t="shared" si="14"/>
        <v>0.0177226651028807</v>
      </c>
      <c r="E43" s="130">
        <f t="shared" si="14"/>
        <v>0.0186477723361895</v>
      </c>
      <c r="F43" s="130">
        <f t="shared" si="14"/>
        <v>0.0185484247828503</v>
      </c>
      <c r="G43" s="130">
        <f t="shared" si="14"/>
        <v>0.0253730893554591</v>
      </c>
      <c r="H43" s="130">
        <f t="shared" si="14"/>
        <v>0</v>
      </c>
      <c r="J43" s="131">
        <f>MEDIAN(C43:H50)</f>
        <v>0.0198805819101697</v>
      </c>
      <c r="L43" s="132"/>
    </row>
    <row r="44" spans="1:12">
      <c r="A44" s="129" t="str">
        <f>A6</f>
        <v>先锋精科</v>
      </c>
      <c r="B44" s="130"/>
      <c r="C44" s="130">
        <f t="shared" ref="C44:H44" si="15">C7</f>
        <v>0.00584772975541527</v>
      </c>
      <c r="D44" s="130">
        <f t="shared" si="15"/>
        <v>0.00900026518830611</v>
      </c>
      <c r="E44" s="130">
        <f t="shared" si="15"/>
        <v>0.0104713847579251</v>
      </c>
      <c r="F44" s="130">
        <f t="shared" si="15"/>
        <v>0.0121518364660842</v>
      </c>
      <c r="G44" s="130">
        <f t="shared" si="15"/>
        <v>0.0195474761988874</v>
      </c>
      <c r="H44" s="130">
        <f t="shared" si="15"/>
        <v>0</v>
      </c>
    </row>
    <row r="45" spans="1:12">
      <c r="A45" s="129" t="str">
        <f>A11</f>
        <v>神工股份</v>
      </c>
      <c r="B45" s="130"/>
      <c r="C45" s="130">
        <f t="shared" ref="C45:H45" si="16">C12</f>
        <v>0.0195924084042024</v>
      </c>
      <c r="D45" s="130">
        <f t="shared" si="16"/>
        <v>0.0316922060648789</v>
      </c>
      <c r="E45" s="130">
        <f t="shared" si="16"/>
        <v>0.0090387056514164</v>
      </c>
      <c r="F45" s="130">
        <f t="shared" si="16"/>
        <v>0.00951845164100284</v>
      </c>
      <c r="G45" s="130">
        <f t="shared" si="16"/>
        <v>0.0153817722770989</v>
      </c>
      <c r="H45" s="130">
        <f t="shared" si="16"/>
        <v>0</v>
      </c>
    </row>
    <row r="46" spans="1:12">
      <c r="A46" s="129" t="str">
        <f>A16</f>
        <v>凯德石英</v>
      </c>
      <c r="C46" s="130">
        <f t="shared" ref="C46:H46" si="17">C17</f>
        <v>0.0186915918362017</v>
      </c>
      <c r="D46" s="130">
        <f t="shared" si="17"/>
        <v>0.0196192746309521</v>
      </c>
      <c r="E46" s="130">
        <f t="shared" si="17"/>
        <v>0.0198189542714099</v>
      </c>
      <c r="F46" s="130">
        <f t="shared" si="17"/>
        <v>0.0226130910726029</v>
      </c>
      <c r="G46" s="130">
        <f t="shared" si="17"/>
        <v>0.0159620755468121</v>
      </c>
      <c r="H46" s="130">
        <f t="shared" si="17"/>
        <v>0</v>
      </c>
    </row>
    <row r="47" spans="1:12">
      <c r="A47" s="129" t="str">
        <f>A21</f>
        <v>江丰电子</v>
      </c>
      <c r="C47" s="130">
        <f t="shared" ref="C47:H47" si="18">C22</f>
        <v>0.0317948634587852</v>
      </c>
      <c r="D47" s="130">
        <f t="shared" si="18"/>
        <v>0.0336791629609466</v>
      </c>
      <c r="E47" s="130">
        <f t="shared" si="18"/>
        <v>0.0331294414432837</v>
      </c>
      <c r="F47" s="130">
        <f t="shared" si="18"/>
        <v>0.0356783655717154</v>
      </c>
      <c r="G47" s="130">
        <f t="shared" si="18"/>
        <v>0.037481614473402</v>
      </c>
      <c r="H47" s="130">
        <f t="shared" si="18"/>
        <v>0</v>
      </c>
    </row>
    <row r="48" spans="1:12">
      <c r="A48" s="129" t="str">
        <f>A26</f>
        <v>英杰电气</v>
      </c>
      <c r="C48" s="130">
        <f t="shared" ref="C48:H48" si="19">C27</f>
        <v>0.0462972038784016</v>
      </c>
      <c r="D48" s="130">
        <f t="shared" si="19"/>
        <v>0.0364192521246824</v>
      </c>
      <c r="E48" s="130">
        <f t="shared" si="19"/>
        <v>0.04048785397907</v>
      </c>
      <c r="F48" s="130">
        <f t="shared" si="19"/>
        <v>0.0589057095286901</v>
      </c>
      <c r="G48" s="130">
        <f t="shared" si="19"/>
        <v>0.0512979647486789</v>
      </c>
      <c r="H48" s="130">
        <f t="shared" si="19"/>
        <v>0</v>
      </c>
    </row>
    <row r="49" spans="1:10">
      <c r="A49" s="129" t="str">
        <f>A31</f>
        <v>机器人</v>
      </c>
      <c r="C49" s="130">
        <f t="shared" ref="C49:H49" si="20">C32</f>
        <v>0.0280197201618669</v>
      </c>
      <c r="D49" s="130">
        <f t="shared" si="20"/>
        <v>0.032304987837301</v>
      </c>
      <c r="E49" s="130">
        <f t="shared" si="20"/>
        <v>0.0288298753692097</v>
      </c>
      <c r="F49" s="130">
        <f t="shared" si="20"/>
        <v>0.0268411356248499</v>
      </c>
      <c r="G49" s="130">
        <f t="shared" si="20"/>
        <v>0.0341600115895554</v>
      </c>
      <c r="H49" s="130">
        <f t="shared" si="20"/>
        <v>0</v>
      </c>
    </row>
    <row r="50" spans="1:10">
      <c r="A50" s="129" t="str">
        <f>A36</f>
        <v>新莱应材</v>
      </c>
      <c r="C50" s="130">
        <f t="shared" ref="C50:H50" si="21">C37</f>
        <v>0.0589325269996353</v>
      </c>
      <c r="D50" s="130">
        <f t="shared" si="21"/>
        <v>0.0589029414607824</v>
      </c>
      <c r="E50" s="130">
        <f t="shared" si="21"/>
        <v>0.0479954669811323</v>
      </c>
      <c r="F50" s="130">
        <f t="shared" si="21"/>
        <v>0.0571225649301262</v>
      </c>
      <c r="G50" s="130">
        <f t="shared" si="21"/>
        <v>0.0679672652646104</v>
      </c>
      <c r="H50" s="130">
        <f t="shared" si="21"/>
        <v>0</v>
      </c>
    </row>
    <row r="53" spans="1:10">
      <c r="A53" s="127" t="s">
        <v>174</v>
      </c>
      <c r="C53" s="127" t="s">
        <v>168</v>
      </c>
      <c r="D53" s="127" t="s">
        <v>169</v>
      </c>
      <c r="E53" s="127" t="s">
        <v>170</v>
      </c>
      <c r="F53" s="127" t="s">
        <v>171</v>
      </c>
      <c r="G53" s="127" t="s">
        <v>172</v>
      </c>
      <c r="H53" s="127" t="s">
        <v>173</v>
      </c>
      <c r="J53" s="127" t="s">
        <v>103</v>
      </c>
    </row>
    <row r="54" ht="15.75" customHeight="1" spans="1:10">
      <c r="A54" s="133" t="str">
        <f>A1</f>
        <v>富创精密</v>
      </c>
      <c r="B54" s="130"/>
      <c r="C54" s="130">
        <f t="shared" ref="C54:H54" si="22">C3</f>
        <v>0.112434698366172</v>
      </c>
      <c r="D54" s="130">
        <f t="shared" si="22"/>
        <v>0.106878407076073</v>
      </c>
      <c r="E54" s="130">
        <f t="shared" si="22"/>
        <v>0.072094493925495</v>
      </c>
      <c r="F54" s="130">
        <f t="shared" si="22"/>
        <v>0.0771966825448372</v>
      </c>
      <c r="G54" s="130">
        <f t="shared" si="22"/>
        <v>0.0730148570763593</v>
      </c>
      <c r="H54" s="130">
        <f t="shared" si="22"/>
        <v>0</v>
      </c>
      <c r="J54" s="131">
        <f>MEDIAN(C54:H61)</f>
        <v>0.073716688659883</v>
      </c>
    </row>
    <row r="55" spans="1:10">
      <c r="A55" s="133" t="str">
        <f>A6</f>
        <v>先锋精科</v>
      </c>
      <c r="B55" s="130"/>
      <c r="C55" s="130">
        <f t="shared" ref="C55:H55" si="23">C8</f>
        <v>0.0428925963358383</v>
      </c>
      <c r="D55" s="130">
        <f t="shared" si="23"/>
        <v>0.065083019718427</v>
      </c>
      <c r="E55" s="130">
        <f t="shared" si="23"/>
        <v>0.0576443493141207</v>
      </c>
      <c r="F55" s="130">
        <f t="shared" si="23"/>
        <v>0.054857819429767</v>
      </c>
      <c r="G55" s="130">
        <f t="shared" si="23"/>
        <v>0.450058349194126</v>
      </c>
      <c r="H55" s="130">
        <f t="shared" si="23"/>
        <v>0</v>
      </c>
    </row>
    <row r="56" spans="1:10">
      <c r="A56" s="133" t="str">
        <f>A11</f>
        <v>神工股份</v>
      </c>
      <c r="B56" s="130"/>
      <c r="C56" s="130">
        <f t="shared" ref="C56:H56" si="24">C13</f>
        <v>0.120239355596333</v>
      </c>
      <c r="D56" s="130">
        <f t="shared" si="24"/>
        <v>0.275652950533647</v>
      </c>
      <c r="E56" s="130">
        <f t="shared" si="24"/>
        <v>0.0730052583606636</v>
      </c>
      <c r="F56" s="130">
        <f t="shared" si="24"/>
        <v>0.0744185202434066</v>
      </c>
      <c r="G56" s="130">
        <f t="shared" si="24"/>
        <v>0.11920144718177</v>
      </c>
      <c r="H56" s="130">
        <f t="shared" si="24"/>
        <v>0</v>
      </c>
    </row>
    <row r="57" spans="1:10">
      <c r="A57" s="129" t="str">
        <f>A46</f>
        <v>凯德石英</v>
      </c>
      <c r="C57" s="130">
        <f t="shared" ref="C57:H57" si="25">B18</f>
        <v>0.176590473523584</v>
      </c>
      <c r="D57" s="130">
        <f t="shared" si="25"/>
        <v>0.183661629723461</v>
      </c>
      <c r="E57" s="130">
        <f t="shared" si="25"/>
        <v>0.132367432520115</v>
      </c>
      <c r="F57" s="130">
        <f t="shared" si="25"/>
        <v>0.11892198903501</v>
      </c>
      <c r="G57" s="130">
        <f t="shared" si="25"/>
        <v>0.102268843589572</v>
      </c>
      <c r="H57" s="130">
        <f t="shared" si="25"/>
        <v>0.0785793740532799</v>
      </c>
    </row>
    <row r="58" spans="1:10">
      <c r="A58" s="129" t="str">
        <f>A47</f>
        <v>江丰电子</v>
      </c>
      <c r="C58" s="130">
        <f t="shared" ref="C58:H58" si="26">B23</f>
        <v>0.0647431744503649</v>
      </c>
      <c r="D58" s="130">
        <f t="shared" si="26"/>
        <v>0.0758157337989729</v>
      </c>
      <c r="E58" s="130">
        <f t="shared" si="26"/>
        <v>0.0871577684667863</v>
      </c>
      <c r="F58" s="130">
        <f t="shared" si="26"/>
        <v>0.0815517643649716</v>
      </c>
      <c r="G58" s="130">
        <f t="shared" si="26"/>
        <v>0.0723042108893417</v>
      </c>
      <c r="H58" s="130">
        <f t="shared" si="26"/>
        <v>0.0781451958976895</v>
      </c>
    </row>
    <row r="59" spans="1:10">
      <c r="A59" s="129" t="str">
        <f>A48</f>
        <v>英杰电气</v>
      </c>
      <c r="C59" s="130">
        <f t="shared" ref="C59:H59" si="27">B28</f>
        <v>0.0321608788455385</v>
      </c>
      <c r="D59" s="130">
        <f t="shared" si="27"/>
        <v>0.0331203786842385</v>
      </c>
      <c r="E59" s="130">
        <f t="shared" si="27"/>
        <v>0.0298502259315811</v>
      </c>
      <c r="F59" s="130">
        <f t="shared" si="27"/>
        <v>0.0344817988038569</v>
      </c>
      <c r="G59" s="130">
        <f t="shared" si="27"/>
        <v>0.0459954627305683</v>
      </c>
      <c r="H59" s="130">
        <f t="shared" si="27"/>
        <v>0.0517876192522643</v>
      </c>
    </row>
    <row r="60" spans="1:10">
      <c r="A60" s="129" t="str">
        <f>A49</f>
        <v>机器人</v>
      </c>
      <c r="C60" s="130">
        <f t="shared" ref="C60:H60" si="28">B33</f>
        <v>0.100480905585317</v>
      </c>
      <c r="D60" s="130">
        <f t="shared" si="28"/>
        <v>0.0744928343710681</v>
      </c>
      <c r="E60" s="130">
        <f t="shared" si="28"/>
        <v>0.0847320204036969</v>
      </c>
      <c r="F60" s="130">
        <f t="shared" si="28"/>
        <v>0.106497677015949</v>
      </c>
      <c r="G60" s="130">
        <f t="shared" si="28"/>
        <v>0.102276420412606</v>
      </c>
      <c r="H60" s="130">
        <f t="shared" si="28"/>
        <v>0.115401276136987</v>
      </c>
    </row>
    <row r="61" spans="1:10">
      <c r="A61" s="129" t="str">
        <f>A50</f>
        <v>新莱应材</v>
      </c>
      <c r="C61" s="130">
        <f t="shared" ref="C61:H61" si="29">B38</f>
        <v>0.0465805365025515</v>
      </c>
      <c r="D61" s="130">
        <f t="shared" si="29"/>
        <v>0.044878701227763</v>
      </c>
      <c r="E61" s="130">
        <f t="shared" si="29"/>
        <v>0.0400870370289095</v>
      </c>
      <c r="F61" s="130">
        <f t="shared" si="29"/>
        <v>0.0395805583535151</v>
      </c>
      <c r="G61" s="130">
        <f t="shared" si="29"/>
        <v>0.0406121984374801</v>
      </c>
      <c r="H61" s="130">
        <f t="shared" si="29"/>
        <v>0.0561362436653809</v>
      </c>
    </row>
    <row r="64" spans="1:10">
      <c r="A64" s="127" t="s">
        <v>175</v>
      </c>
      <c r="C64" s="127" t="s">
        <v>168</v>
      </c>
      <c r="D64" s="127" t="s">
        <v>169</v>
      </c>
      <c r="E64" s="127" t="s">
        <v>170</v>
      </c>
      <c r="F64" s="127" t="s">
        <v>171</v>
      </c>
      <c r="G64" s="127" t="s">
        <v>172</v>
      </c>
      <c r="H64" s="127" t="s">
        <v>173</v>
      </c>
      <c r="J64" s="127" t="s">
        <v>103</v>
      </c>
    </row>
    <row r="65" spans="1:10">
      <c r="A65" s="133" t="str">
        <f>A1</f>
        <v>富创精密</v>
      </c>
      <c r="B65" s="130"/>
      <c r="C65" s="130">
        <f t="shared" ref="C65:H65" si="30">C4</f>
        <v>0.0728386755235835</v>
      </c>
      <c r="D65" s="130">
        <f t="shared" si="30"/>
        <v>0.0997292564915342</v>
      </c>
      <c r="E65" s="130">
        <f t="shared" si="30"/>
        <v>0.0788936195505584</v>
      </c>
      <c r="F65" s="130">
        <f t="shared" si="30"/>
        <v>0.088003935819013</v>
      </c>
      <c r="G65" s="130">
        <f t="shared" si="30"/>
        <v>0.0767462181940221</v>
      </c>
      <c r="H65" s="130">
        <f t="shared" si="30"/>
        <v>0</v>
      </c>
      <c r="J65" s="131">
        <f>MEDIAN(C65:H72)</f>
        <v>0.0657146113166256</v>
      </c>
    </row>
    <row r="66" spans="1:10">
      <c r="A66" s="133" t="str">
        <f>A6</f>
        <v>先锋精科</v>
      </c>
      <c r="B66" s="130"/>
      <c r="C66" s="130">
        <f t="shared" ref="C66:H66" si="31">C9</f>
        <v>0.0564224875351533</v>
      </c>
      <c r="D66" s="130">
        <f t="shared" si="31"/>
        <v>0.0651029222890682</v>
      </c>
      <c r="E66" s="130">
        <f t="shared" si="31"/>
        <v>0.0659425161724626</v>
      </c>
      <c r="F66" s="130">
        <f t="shared" si="31"/>
        <v>0.0508464694384181</v>
      </c>
      <c r="G66" s="130">
        <f t="shared" si="31"/>
        <v>0.0665582707998007</v>
      </c>
      <c r="H66" s="130">
        <f t="shared" si="31"/>
        <v>0</v>
      </c>
    </row>
    <row r="67" spans="1:10">
      <c r="A67" s="133" t="str">
        <f>A11</f>
        <v>神工股份</v>
      </c>
      <c r="B67" s="130"/>
      <c r="C67" s="130">
        <f t="shared" ref="C67:H67" si="32">C14</f>
        <v>0.0826080709015805</v>
      </c>
      <c r="D67" s="130">
        <f t="shared" si="32"/>
        <v>0.166370936925141</v>
      </c>
      <c r="E67" s="130">
        <f t="shared" si="32"/>
        <v>0.073021577730736</v>
      </c>
      <c r="F67" s="130">
        <f t="shared" si="32"/>
        <v>0.073795802022452</v>
      </c>
      <c r="G67" s="130">
        <f t="shared" si="32"/>
        <v>0.0931875740184021</v>
      </c>
      <c r="H67" s="130">
        <f t="shared" si="32"/>
        <v>0</v>
      </c>
    </row>
    <row r="68" spans="1:10">
      <c r="A68" s="129" t="str">
        <f>A57</f>
        <v>凯德石英</v>
      </c>
      <c r="C68" s="130">
        <f t="shared" ref="C68:H68" si="33">B19</f>
        <v>0.069565616698053</v>
      </c>
      <c r="D68" s="130">
        <f t="shared" si="33"/>
        <v>0.0646920456344769</v>
      </c>
      <c r="E68" s="130">
        <f t="shared" si="33"/>
        <v>0.0759575414390703</v>
      </c>
      <c r="F68" s="130">
        <f t="shared" si="33"/>
        <v>0.0825145215597786</v>
      </c>
      <c r="G68" s="130">
        <f t="shared" si="33"/>
        <v>0.0654867064607885</v>
      </c>
      <c r="H68" s="130">
        <f t="shared" si="33"/>
        <v>0.0614474475172313</v>
      </c>
    </row>
    <row r="69" spans="1:10">
      <c r="A69" s="129" t="str">
        <f>A58</f>
        <v>江丰电子</v>
      </c>
      <c r="C69" s="130">
        <f t="shared" ref="C69:H69" si="34">B24</f>
        <v>0.0589755357099125</v>
      </c>
      <c r="D69" s="130">
        <f t="shared" si="34"/>
        <v>0.0602751850865146</v>
      </c>
      <c r="E69" s="130">
        <f t="shared" si="34"/>
        <v>0.0660225754173783</v>
      </c>
      <c r="F69" s="130">
        <f t="shared" si="34"/>
        <v>0.0531647393284658</v>
      </c>
      <c r="G69" s="130">
        <f t="shared" si="34"/>
        <v>0.0616477928810028</v>
      </c>
      <c r="H69" s="130">
        <f t="shared" si="34"/>
        <v>0.0632733000920841</v>
      </c>
    </row>
    <row r="70" spans="1:10">
      <c r="A70" s="129" t="str">
        <f>A59</f>
        <v>英杰电气</v>
      </c>
      <c r="C70" s="130">
        <f t="shared" ref="C70:H70" si="35">B29</f>
        <v>0.0964412360413577</v>
      </c>
      <c r="D70" s="130">
        <f t="shared" si="35"/>
        <v>0.0767393363757566</v>
      </c>
      <c r="E70" s="130">
        <f t="shared" si="35"/>
        <v>0.0550661578273818</v>
      </c>
      <c r="F70" s="130">
        <f t="shared" si="35"/>
        <v>0.0537421555104535</v>
      </c>
      <c r="G70" s="130">
        <f t="shared" si="35"/>
        <v>0.0777634704353197</v>
      </c>
      <c r="H70" s="130">
        <f t="shared" si="35"/>
        <v>0.0809824370912811</v>
      </c>
    </row>
    <row r="71" spans="1:10">
      <c r="A71" s="129" t="str">
        <f>A60</f>
        <v>机器人</v>
      </c>
      <c r="C71" s="130">
        <f t="shared" ref="C71:H71" si="36">B34</f>
        <v>0.0673372846251751</v>
      </c>
      <c r="D71" s="130">
        <f t="shared" si="36"/>
        <v>0.0548159975341703</v>
      </c>
      <c r="E71" s="130">
        <f t="shared" si="36"/>
        <v>0.0498310024046065</v>
      </c>
      <c r="F71" s="130">
        <f t="shared" si="36"/>
        <v>0.0976872068303741</v>
      </c>
      <c r="G71" s="130">
        <f t="shared" si="36"/>
        <v>0.0931774636601582</v>
      </c>
      <c r="H71" s="130">
        <f t="shared" si="36"/>
        <v>0.168929012506636</v>
      </c>
    </row>
    <row r="72" spans="1:10">
      <c r="A72" s="129" t="str">
        <f>A61</f>
        <v>新莱应材</v>
      </c>
      <c r="B72" s="128"/>
      <c r="C72" s="130">
        <f t="shared" ref="C72:H72" si="37">B39</f>
        <v>0.0386394389821003</v>
      </c>
      <c r="D72" s="130">
        <f t="shared" si="37"/>
        <v>0.0432264434808897</v>
      </c>
      <c r="E72" s="130">
        <f t="shared" si="37"/>
        <v>0.0406961693594414</v>
      </c>
      <c r="F72" s="130">
        <f t="shared" si="37"/>
        <v>0.0365729220136255</v>
      </c>
      <c r="G72" s="130">
        <f t="shared" si="37"/>
        <v>0.0361772561427908</v>
      </c>
      <c r="H72" s="130">
        <f t="shared" si="37"/>
        <v>0.0489761060678712</v>
      </c>
    </row>
    <row r="73" spans="1:10">
      <c r="B73" s="128"/>
      <c r="C73" s="128"/>
      <c r="D73" s="128"/>
      <c r="E73" s="128"/>
      <c r="F73" s="128"/>
      <c r="G73" s="128"/>
      <c r="H73" s="128"/>
      <c r="J73" s="128"/>
    </row>
    <row r="74" spans="1:10">
      <c r="B74" s="128"/>
      <c r="C74" s="128"/>
      <c r="D74" s="128"/>
      <c r="E74" s="128"/>
      <c r="F74" s="128"/>
      <c r="G74" s="128"/>
      <c r="H74" s="128"/>
      <c r="J74" s="128"/>
    </row>
    <row r="75" spans="1:10">
      <c r="B75" s="128"/>
      <c r="C75" s="128"/>
      <c r="D75" s="128"/>
      <c r="E75" s="128"/>
      <c r="F75" s="128"/>
      <c r="G75" s="128"/>
      <c r="H75" s="128"/>
      <c r="J75" s="12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Y37"/>
  <sheetViews>
    <sheetView tabSelected="1" workbookViewId="0">
      <selection activeCell="B6" sqref="B6"/>
    </sheetView>
  </sheetViews>
  <sheetFormatPr defaultColWidth="8.72727272727273" defaultRowHeight="14"/>
  <cols>
    <col min="1" max="1" width="12" style="107" customWidth="1"/>
    <col min="2" max="16" width="9.63636363636364" style="107" customWidth="1"/>
    <col min="17" max="19" width="8.72727272727273" style="107"/>
    <col min="20" max="22" width="10.5363636363636" style="107"/>
    <col min="23" max="16384" width="8.72727272727273" style="107"/>
  </cols>
  <sheetData>
    <row r="1" spans="1:25">
      <c r="A1" s="108"/>
      <c r="B1" s="109" t="s">
        <v>80</v>
      </c>
      <c r="C1" s="109"/>
      <c r="D1" s="109"/>
      <c r="E1" s="110" t="s">
        <v>84</v>
      </c>
      <c r="F1" s="110"/>
      <c r="G1" s="110"/>
      <c r="H1" s="110" t="s">
        <v>87</v>
      </c>
      <c r="I1" s="110"/>
      <c r="J1" s="110"/>
      <c r="K1" s="110" t="s">
        <v>89</v>
      </c>
      <c r="L1" s="110"/>
      <c r="M1" s="110"/>
      <c r="N1" s="110" t="s">
        <v>92</v>
      </c>
      <c r="O1" s="110"/>
      <c r="P1" s="110"/>
      <c r="Q1" s="110" t="s">
        <v>94</v>
      </c>
      <c r="R1" s="110"/>
      <c r="S1" s="110"/>
      <c r="T1" s="110" t="s">
        <v>96</v>
      </c>
      <c r="U1" s="110"/>
      <c r="V1" s="110"/>
      <c r="W1" s="110" t="s">
        <v>98</v>
      </c>
      <c r="X1" s="110"/>
      <c r="Y1" s="110"/>
    </row>
    <row r="2" spans="1:25">
      <c r="A2" s="108"/>
      <c r="B2" s="111" t="s">
        <v>176</v>
      </c>
      <c r="C2" s="111"/>
      <c r="D2" s="111"/>
      <c r="E2" s="111" t="s">
        <v>177</v>
      </c>
      <c r="F2" s="111"/>
      <c r="G2" s="111"/>
      <c r="H2" s="111" t="s">
        <v>178</v>
      </c>
      <c r="I2" s="111"/>
      <c r="J2" s="111"/>
      <c r="K2" s="112" t="s">
        <v>179</v>
      </c>
      <c r="L2" s="112"/>
      <c r="M2" s="112"/>
      <c r="N2" s="111" t="s">
        <v>180</v>
      </c>
      <c r="O2" s="111"/>
      <c r="P2" s="111"/>
      <c r="Q2" s="111" t="s">
        <v>181</v>
      </c>
      <c r="R2" s="111"/>
      <c r="S2" s="111"/>
      <c r="T2" s="111" t="s">
        <v>182</v>
      </c>
      <c r="U2" s="111"/>
      <c r="V2" s="111"/>
      <c r="W2" s="111" t="s">
        <v>183</v>
      </c>
      <c r="X2" s="111"/>
      <c r="Y2" s="111"/>
    </row>
    <row r="3" ht="14.75" spans="1:25">
      <c r="A3" s="113" t="s">
        <v>184</v>
      </c>
      <c r="B3" s="114">
        <v>2023</v>
      </c>
      <c r="C3" s="114">
        <v>2024</v>
      </c>
      <c r="D3" s="115" t="s">
        <v>185</v>
      </c>
      <c r="E3" s="116">
        <v>2023</v>
      </c>
      <c r="F3" s="116">
        <v>2024</v>
      </c>
      <c r="G3" s="117" t="s">
        <v>185</v>
      </c>
      <c r="H3" s="116">
        <v>2023</v>
      </c>
      <c r="I3" s="116">
        <v>2024</v>
      </c>
      <c r="J3" s="117" t="s">
        <v>185</v>
      </c>
      <c r="K3" s="116">
        <v>2023</v>
      </c>
      <c r="L3" s="116">
        <v>2024</v>
      </c>
      <c r="M3" s="117" t="s">
        <v>185</v>
      </c>
      <c r="N3" s="116">
        <v>2023</v>
      </c>
      <c r="O3" s="116">
        <v>2024</v>
      </c>
      <c r="P3" s="117" t="s">
        <v>185</v>
      </c>
      <c r="Q3" s="116">
        <v>2023</v>
      </c>
      <c r="R3" s="116">
        <v>2024</v>
      </c>
      <c r="S3" s="117" t="s">
        <v>185</v>
      </c>
      <c r="T3" s="116">
        <v>2023</v>
      </c>
      <c r="U3" s="116">
        <v>2024</v>
      </c>
      <c r="V3" s="117" t="s">
        <v>185</v>
      </c>
      <c r="W3" s="116">
        <v>2023</v>
      </c>
      <c r="X3" s="116">
        <v>2024</v>
      </c>
      <c r="Y3" s="117" t="s">
        <v>185</v>
      </c>
    </row>
    <row r="4" spans="1:25">
      <c r="A4" s="118" t="s">
        <v>108</v>
      </c>
      <c r="B4" s="119">
        <v>206575.59</v>
      </c>
      <c r="C4" s="119">
        <v>303956.79</v>
      </c>
      <c r="D4" s="119">
        <v>273015.27</v>
      </c>
      <c r="E4" s="120">
        <v>55771.69</v>
      </c>
      <c r="F4" s="120">
        <v>113577.41</v>
      </c>
      <c r="G4" s="120">
        <v>96855.96</v>
      </c>
      <c r="H4" s="120">
        <v>13503.32</v>
      </c>
      <c r="I4" s="120">
        <v>30272.95</v>
      </c>
      <c r="J4" s="120">
        <v>31599.98</v>
      </c>
      <c r="K4" s="120">
        <v>25968.85</v>
      </c>
      <c r="L4" s="120">
        <v>30630.35</v>
      </c>
      <c r="M4" s="120">
        <v>22212.41</v>
      </c>
      <c r="N4" s="120">
        <v>260160.86</v>
      </c>
      <c r="O4" s="120">
        <v>360496.28</v>
      </c>
      <c r="P4" s="120">
        <v>329115.62</v>
      </c>
      <c r="Q4" s="120">
        <v>176980.57</v>
      </c>
      <c r="R4" s="120">
        <v>178026.95</v>
      </c>
      <c r="S4" s="120">
        <v>114974.47</v>
      </c>
      <c r="T4" s="120">
        <v>396659.49</v>
      </c>
      <c r="U4" s="120">
        <v>413848.53</v>
      </c>
      <c r="V4" s="120">
        <v>221848.12</v>
      </c>
      <c r="W4" s="120">
        <v>271139.77</v>
      </c>
      <c r="X4" s="120">
        <v>284901.07</v>
      </c>
      <c r="Y4" s="120">
        <v>225458.76</v>
      </c>
    </row>
    <row r="5" spans="1:25">
      <c r="A5" s="118" t="s">
        <v>186</v>
      </c>
      <c r="B5" s="119">
        <v>52055.23</v>
      </c>
      <c r="C5" s="119">
        <v>78410.4</v>
      </c>
      <c r="D5" s="119">
        <v>68094.82</v>
      </c>
      <c r="E5" s="120">
        <v>16694.84</v>
      </c>
      <c r="F5" s="120">
        <v>38425.16</v>
      </c>
      <c r="G5" s="120">
        <v>29176.53</v>
      </c>
      <c r="H5" s="120">
        <v>11.5</v>
      </c>
      <c r="I5" s="120">
        <v>10200.12</v>
      </c>
      <c r="J5" s="120">
        <v>13276.77</v>
      </c>
      <c r="K5" s="120">
        <v>10102.11</v>
      </c>
      <c r="L5" s="120">
        <v>12762.62</v>
      </c>
      <c r="M5" s="120">
        <v>9732.7</v>
      </c>
      <c r="N5" s="120">
        <v>75973.17</v>
      </c>
      <c r="O5" s="120">
        <v>101568.34</v>
      </c>
      <c r="P5" s="120">
        <v>95220.89</v>
      </c>
      <c r="Q5" s="120">
        <v>65880.95</v>
      </c>
      <c r="R5" s="120">
        <v>68547.44</v>
      </c>
      <c r="S5" s="120">
        <v>41143.79</v>
      </c>
      <c r="T5" s="120">
        <v>55066.88</v>
      </c>
      <c r="U5" s="120">
        <v>60516.53</v>
      </c>
      <c r="V5" s="120">
        <v>30584.76</v>
      </c>
      <c r="W5" s="120">
        <v>69370.94</v>
      </c>
      <c r="X5" s="120">
        <v>73266.84</v>
      </c>
      <c r="Y5" s="120">
        <v>53687.13</v>
      </c>
    </row>
    <row r="6" spans="1:25">
      <c r="A6" s="118" t="s">
        <v>187</v>
      </c>
      <c r="B6" s="121">
        <v>0.251991196055642</v>
      </c>
      <c r="C6" s="121">
        <v>0.257965614125613</v>
      </c>
      <c r="D6" s="121">
        <v>0.249417624149741</v>
      </c>
      <c r="E6" s="122">
        <v>0.299342551749821</v>
      </c>
      <c r="F6" s="122">
        <v>0.338316924113695</v>
      </c>
      <c r="G6" s="122">
        <v>0.301236289434331</v>
      </c>
      <c r="H6" s="122">
        <v>0.000851642410903393</v>
      </c>
      <c r="I6" s="122">
        <v>0.336938421924523</v>
      </c>
      <c r="J6" s="122">
        <v>0.420151215285579</v>
      </c>
      <c r="K6" s="122">
        <v>0.389008754719597</v>
      </c>
      <c r="L6" s="122">
        <v>0.416665823276587</v>
      </c>
      <c r="M6" s="122">
        <v>0.438164971743273</v>
      </c>
      <c r="N6" s="122">
        <v>0.292023827104508</v>
      </c>
      <c r="O6" s="122">
        <v>0.281745875435941</v>
      </c>
      <c r="P6" s="122">
        <v>0.289323521016717</v>
      </c>
      <c r="Q6" s="122">
        <v>0.372249620396183</v>
      </c>
      <c r="R6" s="122">
        <v>0.385039680789903</v>
      </c>
      <c r="S6" s="122">
        <v>0.357851529996181</v>
      </c>
      <c r="T6" s="122">
        <v>0.138826578938021</v>
      </c>
      <c r="U6" s="122">
        <v>0.146228693865362</v>
      </c>
      <c r="V6" s="122">
        <v>0.137863507700674</v>
      </c>
      <c r="W6" s="122">
        <v>0.255849372447281</v>
      </c>
      <c r="X6" s="122">
        <v>0.25716589972793</v>
      </c>
      <c r="Y6" s="122">
        <v>0.238123947812008</v>
      </c>
    </row>
    <row r="7" ht="14.65" customHeight="1" spans="1:25">
      <c r="A7" s="123" t="s">
        <v>188</v>
      </c>
      <c r="B7" s="124" t="s">
        <v>189</v>
      </c>
      <c r="C7" s="124"/>
      <c r="D7" s="124"/>
      <c r="E7" s="125" t="s">
        <v>190</v>
      </c>
      <c r="F7" s="125"/>
      <c r="G7" s="125"/>
      <c r="H7" s="125" t="s">
        <v>191</v>
      </c>
      <c r="I7" s="125"/>
      <c r="J7" s="125"/>
      <c r="K7" s="125" t="s">
        <v>192</v>
      </c>
      <c r="L7" s="125"/>
      <c r="M7" s="125"/>
      <c r="N7" s="125" t="s">
        <v>193</v>
      </c>
      <c r="O7" s="125"/>
      <c r="P7" s="125"/>
      <c r="Q7" s="125" t="s">
        <v>194</v>
      </c>
      <c r="R7" s="125"/>
      <c r="S7" s="125"/>
      <c r="T7" s="125" t="s">
        <v>195</v>
      </c>
      <c r="U7" s="125"/>
      <c r="V7" s="125"/>
      <c r="W7" s="126" t="s">
        <v>196</v>
      </c>
      <c r="X7" s="126"/>
      <c r="Y7" s="126"/>
    </row>
    <row r="8" ht="13.9" customHeight="1" spans="1:25">
      <c r="A8" s="123"/>
      <c r="B8" s="124"/>
      <c r="C8" s="124"/>
      <c r="D8" s="124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6"/>
      <c r="X8" s="126"/>
      <c r="Y8" s="126"/>
    </row>
    <row r="9" ht="13.9" customHeight="1" spans="1:25">
      <c r="A9" s="123"/>
      <c r="B9" s="124"/>
      <c r="C9" s="124"/>
      <c r="D9" s="124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6"/>
      <c r="X9" s="126"/>
      <c r="Y9" s="126"/>
    </row>
    <row r="10" ht="13.9" customHeight="1" spans="1:25">
      <c r="A10" s="123"/>
      <c r="B10" s="124"/>
      <c r="C10" s="124"/>
      <c r="D10" s="124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6"/>
      <c r="X10" s="126"/>
      <c r="Y10" s="126"/>
    </row>
    <row r="11" ht="13.9" customHeight="1" spans="1:25">
      <c r="A11" s="123"/>
      <c r="B11" s="124"/>
      <c r="C11" s="124"/>
      <c r="D11" s="124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6"/>
      <c r="X11" s="126"/>
      <c r="Y11" s="126"/>
    </row>
    <row r="12" ht="13.9" customHeight="1" spans="1:25">
      <c r="A12" s="123"/>
      <c r="B12" s="124"/>
      <c r="C12" s="124"/>
      <c r="D12" s="124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6"/>
      <c r="X12" s="126"/>
      <c r="Y12" s="126"/>
    </row>
    <row r="13" ht="13.9" customHeight="1" spans="1:25">
      <c r="A13" s="123"/>
      <c r="B13" s="124"/>
      <c r="C13" s="124"/>
      <c r="D13" s="124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6"/>
      <c r="X13" s="126"/>
      <c r="Y13" s="126"/>
    </row>
    <row r="14" ht="13.9" customHeight="1" spans="1:25">
      <c r="A14" s="123"/>
      <c r="B14" s="124"/>
      <c r="C14" s="124"/>
      <c r="D14" s="124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6"/>
      <c r="X14" s="126"/>
      <c r="Y14" s="126"/>
    </row>
    <row r="15" ht="13.9" customHeight="1" spans="1:25">
      <c r="A15" s="123"/>
      <c r="B15" s="124"/>
      <c r="C15" s="124"/>
      <c r="D15" s="124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6"/>
      <c r="X15" s="126"/>
      <c r="Y15" s="126"/>
    </row>
    <row r="16" ht="13.9" customHeight="1" spans="1:25">
      <c r="A16" s="123"/>
      <c r="B16" s="124"/>
      <c r="C16" s="124"/>
      <c r="D16" s="124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6"/>
      <c r="X16" s="126"/>
      <c r="Y16" s="126"/>
    </row>
    <row r="17" ht="13.9" customHeight="1" spans="1:25">
      <c r="A17" s="123"/>
      <c r="B17" s="124"/>
      <c r="C17" s="124"/>
      <c r="D17" s="124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6"/>
      <c r="X17" s="126"/>
      <c r="Y17" s="126"/>
    </row>
    <row r="18" ht="13.9" customHeight="1" spans="1:25">
      <c r="A18" s="123"/>
      <c r="B18" s="124"/>
      <c r="C18" s="124"/>
      <c r="D18" s="124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6"/>
      <c r="X18" s="126"/>
      <c r="Y18" s="126"/>
    </row>
    <row r="19" ht="13.9" customHeight="1" spans="1:25">
      <c r="A19" s="123"/>
      <c r="B19" s="124"/>
      <c r="C19" s="124"/>
      <c r="D19" s="124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6"/>
      <c r="X19" s="126"/>
      <c r="Y19" s="126"/>
    </row>
    <row r="20" ht="13.9" customHeight="1" spans="1:25">
      <c r="A20" s="123"/>
      <c r="B20" s="124"/>
      <c r="C20" s="124"/>
      <c r="D20" s="124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6"/>
      <c r="X20" s="126"/>
      <c r="Y20" s="126"/>
    </row>
    <row r="21" ht="13.9" customHeight="1" spans="1:25">
      <c r="A21" s="123"/>
      <c r="B21" s="124"/>
      <c r="C21" s="124"/>
      <c r="D21" s="124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6"/>
      <c r="X21" s="126"/>
      <c r="Y21" s="126"/>
    </row>
    <row r="22" ht="13.9" customHeight="1" spans="1:25">
      <c r="A22" s="123"/>
      <c r="B22" s="124"/>
      <c r="C22" s="124"/>
      <c r="D22" s="124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6"/>
      <c r="X22" s="126"/>
      <c r="Y22" s="126"/>
    </row>
    <row r="23" ht="13.9" customHeight="1" spans="1:25">
      <c r="A23" s="123"/>
      <c r="B23" s="124"/>
      <c r="C23" s="124"/>
      <c r="D23" s="124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6"/>
      <c r="X23" s="126"/>
      <c r="Y23" s="126"/>
    </row>
    <row r="24" ht="13.9" customHeight="1" spans="1:25">
      <c r="A24" s="123"/>
      <c r="B24" s="124"/>
      <c r="C24" s="124"/>
      <c r="D24" s="124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6"/>
      <c r="X24" s="126"/>
      <c r="Y24" s="126"/>
    </row>
    <row r="25" ht="13.9" customHeight="1" spans="1:25">
      <c r="A25" s="123"/>
      <c r="B25" s="124"/>
      <c r="C25" s="124"/>
      <c r="D25" s="124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6"/>
      <c r="X25" s="126"/>
      <c r="Y25" s="126"/>
    </row>
    <row r="26" ht="13.9" customHeight="1" spans="1:25">
      <c r="A26" s="123"/>
      <c r="B26" s="124"/>
      <c r="C26" s="124"/>
      <c r="D26" s="124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6"/>
      <c r="X26" s="126"/>
      <c r="Y26" s="126"/>
    </row>
    <row r="27" ht="13.9" customHeight="1" spans="1:25">
      <c r="A27" s="123"/>
      <c r="B27" s="124"/>
      <c r="C27" s="124"/>
      <c r="D27" s="124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6"/>
      <c r="X27" s="126"/>
      <c r="Y27" s="126"/>
    </row>
    <row r="28" ht="13.9" customHeight="1" spans="1:25">
      <c r="A28" s="123"/>
      <c r="B28" s="124"/>
      <c r="C28" s="124"/>
      <c r="D28" s="124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6"/>
      <c r="X28" s="126"/>
      <c r="Y28" s="126"/>
    </row>
    <row r="29" ht="13.9" customHeight="1" spans="1:25">
      <c r="A29" s="123"/>
      <c r="B29" s="124"/>
      <c r="C29" s="124"/>
      <c r="D29" s="124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6"/>
      <c r="X29" s="126"/>
      <c r="Y29" s="126"/>
    </row>
    <row r="30" ht="13.9" customHeight="1" spans="1:25">
      <c r="A30" s="123"/>
      <c r="B30" s="124"/>
      <c r="C30" s="124"/>
      <c r="D30" s="124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6"/>
      <c r="X30" s="126"/>
      <c r="Y30" s="126"/>
    </row>
    <row r="31" ht="13.9" customHeight="1" spans="1:25">
      <c r="A31" s="123"/>
      <c r="B31" s="124"/>
      <c r="C31" s="124"/>
      <c r="D31" s="124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6"/>
      <c r="X31" s="126"/>
      <c r="Y31" s="126"/>
    </row>
    <row r="32" ht="13.9" customHeight="1" spans="1:25">
      <c r="A32" s="123"/>
      <c r="B32" s="124"/>
      <c r="C32" s="124"/>
      <c r="D32" s="124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6"/>
      <c r="X32" s="126"/>
      <c r="Y32" s="126"/>
    </row>
    <row r="33" ht="13.9" customHeight="1" spans="1:25">
      <c r="A33" s="123"/>
      <c r="B33" s="124"/>
      <c r="C33" s="124"/>
      <c r="D33" s="124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6"/>
      <c r="X33" s="126"/>
      <c r="Y33" s="126"/>
    </row>
    <row r="34" ht="13.9" customHeight="1" spans="1:25">
      <c r="A34" s="123"/>
      <c r="B34" s="124"/>
      <c r="C34" s="124"/>
      <c r="D34" s="124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6"/>
      <c r="X34" s="126"/>
      <c r="Y34" s="126"/>
    </row>
    <row r="35" ht="13.9" customHeight="1" spans="1:25">
      <c r="A35" s="123"/>
      <c r="B35" s="124"/>
      <c r="C35" s="124"/>
      <c r="D35" s="124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6"/>
      <c r="X35" s="126"/>
      <c r="Y35" s="126"/>
    </row>
    <row r="36" ht="13.9" customHeight="1" spans="1:25">
      <c r="A36" s="123"/>
      <c r="B36" s="124"/>
      <c r="C36" s="124"/>
      <c r="D36" s="124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6"/>
      <c r="X36" s="126"/>
      <c r="Y36" s="126"/>
    </row>
    <row r="37" ht="13.9" customHeight="1" spans="1:25">
      <c r="A37" s="108"/>
      <c r="B37" s="124"/>
      <c r="C37" s="124"/>
      <c r="D37" s="124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6"/>
      <c r="X37" s="126"/>
      <c r="Y37" s="126"/>
    </row>
  </sheetData>
  <mergeCells count="25">
    <mergeCell ref="B1:D1"/>
    <mergeCell ref="E1:G1"/>
    <mergeCell ref="H1:J1"/>
    <mergeCell ref="K1:M1"/>
    <mergeCell ref="N1:P1"/>
    <mergeCell ref="Q1:S1"/>
    <mergeCell ref="T1:V1"/>
    <mergeCell ref="W1:Y1"/>
    <mergeCell ref="B2:D2"/>
    <mergeCell ref="E2:G2"/>
    <mergeCell ref="H2:J2"/>
    <mergeCell ref="K2:M2"/>
    <mergeCell ref="N2:P2"/>
    <mergeCell ref="Q2:S2"/>
    <mergeCell ref="T2:V2"/>
    <mergeCell ref="W2:Y2"/>
    <mergeCell ref="A7:A36"/>
    <mergeCell ref="B7:D37"/>
    <mergeCell ref="E7:G37"/>
    <mergeCell ref="H7:J37"/>
    <mergeCell ref="K7:M37"/>
    <mergeCell ref="N7:P37"/>
    <mergeCell ref="Q7:S37"/>
    <mergeCell ref="T7:V37"/>
    <mergeCell ref="W7:Y3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2:P14"/>
  <sheetViews>
    <sheetView workbookViewId="0">
      <selection activeCell="C24" sqref="C24"/>
    </sheetView>
  </sheetViews>
  <sheetFormatPr defaultColWidth="8.72727272727273" defaultRowHeight="14"/>
  <cols>
    <col min="1" max="1" width="22.1727272727273" style="94" customWidth="1"/>
    <col min="2" max="2" width="19.1727272727273" style="94" customWidth="1"/>
    <col min="3" max="3" width="16" style="94" customWidth="1"/>
    <col min="4" max="4" width="12.6363636363636" style="94" customWidth="1"/>
    <col min="5" max="5" width="25.2636363636364" style="94" customWidth="1"/>
    <col min="6" max="6" width="16.5363636363636" style="94" customWidth="1"/>
    <col min="7" max="8" width="19.8181818181818" style="94" customWidth="1"/>
    <col min="9" max="9" width="22.2636363636364" style="94" customWidth="1"/>
    <col min="10" max="10" width="24.4545454545455" style="94" customWidth="1"/>
    <col min="11" max="14" width="21.8181818181818" style="94" customWidth="1"/>
    <col min="15" max="15" width="19.1727272727273" style="94" customWidth="1"/>
    <col min="16" max="16" width="15.9" style="94" customWidth="1"/>
    <col min="17" max="16384" width="8.72727272727273" style="94"/>
  </cols>
  <sheetData>
    <row r="2" ht="47" customHeight="1" spans="1:16">
      <c r="B2" s="95" t="s">
        <v>197</v>
      </c>
      <c r="C2" s="95" t="s">
        <v>198</v>
      </c>
      <c r="D2" s="95" t="s">
        <v>199</v>
      </c>
      <c r="E2" s="96" t="s">
        <v>200</v>
      </c>
      <c r="F2" s="96" t="s">
        <v>201</v>
      </c>
      <c r="G2" s="96" t="s">
        <v>202</v>
      </c>
      <c r="H2" s="97" t="s">
        <v>74</v>
      </c>
      <c r="I2" s="98" t="s">
        <v>203</v>
      </c>
      <c r="J2" s="98" t="s">
        <v>204</v>
      </c>
      <c r="K2" s="98" t="s">
        <v>205</v>
      </c>
      <c r="L2" s="97" t="s">
        <v>75</v>
      </c>
      <c r="M2" s="99" t="s">
        <v>206</v>
      </c>
      <c r="N2" s="99" t="s">
        <v>207</v>
      </c>
      <c r="O2" s="99" t="s">
        <v>208</v>
      </c>
      <c r="P2" s="99" t="s">
        <v>209</v>
      </c>
    </row>
    <row r="3" ht="16.5" spans="1:16">
      <c r="A3" s="95" t="s">
        <v>80</v>
      </c>
      <c r="B3" s="100">
        <v>12.3544275156</v>
      </c>
      <c r="C3" s="100">
        <v>30.12</v>
      </c>
      <c r="D3" s="100">
        <v>16.71</v>
      </c>
      <c r="E3" s="100">
        <v>40704.720587</v>
      </c>
      <c r="F3" s="101">
        <v>0</v>
      </c>
      <c r="G3" s="101">
        <f t="shared" ref="G3:G10" si="0">E3-F3</f>
        <v>40704.720587</v>
      </c>
      <c r="H3" s="102">
        <f t="shared" ref="H3:H10" si="1">360/(B3*10000/G3)</f>
        <v>118.610914126265</v>
      </c>
      <c r="I3" s="100">
        <v>36094.750647</v>
      </c>
      <c r="J3" s="100">
        <v>682.750938</v>
      </c>
      <c r="K3" s="101">
        <f t="shared" ref="K3:K10" si="2">I3-J3</f>
        <v>35411.999709</v>
      </c>
      <c r="L3" s="102">
        <f t="shared" ref="L3:L10" si="3">360/(B3*(100-C3)*1%*10^4/K3)</f>
        <v>147.664952741817</v>
      </c>
      <c r="M3" s="100">
        <v>26637.633839</v>
      </c>
      <c r="N3" s="100">
        <v>29096.646403</v>
      </c>
      <c r="O3" s="100">
        <f t="shared" ref="O3:O10" si="4">(M3+N3)/2</f>
        <v>27867.140121</v>
      </c>
      <c r="P3" s="103">
        <v>111.1752</v>
      </c>
    </row>
    <row r="4" ht="16.5" spans="1:16">
      <c r="A4" s="95" t="s">
        <v>84</v>
      </c>
      <c r="B4" s="100">
        <v>4.0461984742</v>
      </c>
      <c r="C4" s="100">
        <v>42.02</v>
      </c>
      <c r="D4" s="100">
        <v>26.1</v>
      </c>
      <c r="E4" s="100">
        <v>10765.257915</v>
      </c>
      <c r="F4" s="101">
        <v>0</v>
      </c>
      <c r="G4" s="101">
        <f t="shared" si="0"/>
        <v>10765.257915</v>
      </c>
      <c r="H4" s="102">
        <f t="shared" si="1"/>
        <v>95.7810862247989</v>
      </c>
      <c r="I4" s="100">
        <v>3760.806758</v>
      </c>
      <c r="J4" s="100">
        <v>754.628278</v>
      </c>
      <c r="K4" s="101">
        <f t="shared" si="2"/>
        <v>3006.17848</v>
      </c>
      <c r="L4" s="102">
        <f t="shared" si="3"/>
        <v>46.1308938035537</v>
      </c>
      <c r="M4" s="100">
        <v>10991.285343</v>
      </c>
      <c r="N4" s="100">
        <v>10431.569139</v>
      </c>
      <c r="O4" s="100">
        <f t="shared" si="4"/>
        <v>10711.427241</v>
      </c>
      <c r="P4" s="103">
        <v>157.8394</v>
      </c>
    </row>
    <row r="5" ht="16.5" spans="1:16">
      <c r="A5" s="95" t="s">
        <v>87</v>
      </c>
      <c r="B5" s="100">
        <v>2.9651937628</v>
      </c>
      <c r="C5" s="100">
        <v>43.82</v>
      </c>
      <c r="D5" s="100">
        <v>12.78</v>
      </c>
      <c r="E5" s="100">
        <v>10499.811642</v>
      </c>
      <c r="F5" s="101">
        <v>0</v>
      </c>
      <c r="G5" s="101">
        <f t="shared" si="0"/>
        <v>10499.811642</v>
      </c>
      <c r="H5" s="102">
        <f t="shared" si="1"/>
        <v>127.476734861018</v>
      </c>
      <c r="I5" s="100">
        <v>5397.352171</v>
      </c>
      <c r="J5" s="100">
        <v>264.374926</v>
      </c>
      <c r="K5" s="101">
        <f t="shared" si="2"/>
        <v>5132.977245</v>
      </c>
      <c r="L5" s="102">
        <f t="shared" si="3"/>
        <v>110.926938504531</v>
      </c>
      <c r="M5" s="100">
        <v>11203.918597</v>
      </c>
      <c r="N5" s="100">
        <v>11015.486097</v>
      </c>
      <c r="O5" s="100">
        <f t="shared" si="4"/>
        <v>11109.702347</v>
      </c>
      <c r="P5" s="103">
        <v>240.3632</v>
      </c>
    </row>
    <row r="6" ht="16.5" spans="1:16">
      <c r="A6" s="95" t="s">
        <v>89</v>
      </c>
      <c r="B6" s="100">
        <v>42.7092586081</v>
      </c>
      <c r="C6" s="100">
        <v>28.93</v>
      </c>
      <c r="D6" s="100">
        <v>10.98</v>
      </c>
      <c r="E6" s="100">
        <v>112946.815126</v>
      </c>
      <c r="F6" s="101">
        <v>0</v>
      </c>
      <c r="G6" s="101">
        <f t="shared" si="0"/>
        <v>112946.815126</v>
      </c>
      <c r="H6" s="102">
        <f t="shared" si="1"/>
        <v>95.2038381617996</v>
      </c>
      <c r="I6" s="100">
        <v>120627.973176</v>
      </c>
      <c r="J6" s="100">
        <v>3778.913713</v>
      </c>
      <c r="K6" s="101">
        <f t="shared" si="2"/>
        <v>116849.059463</v>
      </c>
      <c r="L6" s="102">
        <f t="shared" si="3"/>
        <v>138.586004427515</v>
      </c>
      <c r="M6" s="100">
        <v>145061.395401</v>
      </c>
      <c r="N6" s="100">
        <v>151132.086468</v>
      </c>
      <c r="O6" s="100">
        <f t="shared" si="4"/>
        <v>148096.7409345</v>
      </c>
      <c r="P6" s="103">
        <v>170.9618</v>
      </c>
    </row>
    <row r="7" ht="16.5" spans="1:16">
      <c r="A7" s="95" t="s">
        <v>92</v>
      </c>
      <c r="B7" s="100">
        <v>16.0094075083</v>
      </c>
      <c r="C7" s="100">
        <v>35.79</v>
      </c>
      <c r="D7" s="100">
        <v>17.07</v>
      </c>
      <c r="E7" s="100">
        <v>39598.775222</v>
      </c>
      <c r="F7" s="101">
        <v>0</v>
      </c>
      <c r="G7" s="101">
        <f t="shared" si="0"/>
        <v>39598.775222</v>
      </c>
      <c r="H7" s="102">
        <f t="shared" si="1"/>
        <v>89.0448885914689</v>
      </c>
      <c r="I7" s="100">
        <v>12733.668687</v>
      </c>
      <c r="J7" s="100">
        <v>3558.97317</v>
      </c>
      <c r="K7" s="101">
        <f t="shared" si="2"/>
        <v>9174.695517</v>
      </c>
      <c r="L7" s="102">
        <f t="shared" si="3"/>
        <v>32.1304073473672</v>
      </c>
      <c r="M7" s="100">
        <v>155594.62828</v>
      </c>
      <c r="N7" s="100">
        <v>135615.912104</v>
      </c>
      <c r="O7" s="100">
        <f t="shared" si="4"/>
        <v>145605.270192</v>
      </c>
      <c r="P7" s="103">
        <v>532.4394</v>
      </c>
    </row>
    <row r="8" ht="16.5" spans="1:16">
      <c r="A8" s="95" t="s">
        <v>94</v>
      </c>
      <c r="B8" s="100">
        <v>39.2617313424</v>
      </c>
      <c r="C8" s="100">
        <v>13.79</v>
      </c>
      <c r="D8" s="100">
        <v>-6.98</v>
      </c>
      <c r="E8" s="100">
        <v>140706.841322</v>
      </c>
      <c r="F8" s="101">
        <v>0</v>
      </c>
      <c r="G8" s="101">
        <f t="shared" si="0"/>
        <v>140706.841322</v>
      </c>
      <c r="H8" s="102">
        <f t="shared" si="1"/>
        <v>129.017394658846</v>
      </c>
      <c r="I8" s="100">
        <v>211130.131392</v>
      </c>
      <c r="J8" s="100">
        <v>34458.276963</v>
      </c>
      <c r="K8" s="101">
        <f t="shared" si="2"/>
        <v>176671.854429</v>
      </c>
      <c r="L8" s="102">
        <f t="shared" si="3"/>
        <v>187.906920985678</v>
      </c>
      <c r="M8" s="100">
        <v>329383.962783</v>
      </c>
      <c r="N8" s="100">
        <v>378444.178826</v>
      </c>
      <c r="O8" s="100">
        <f t="shared" si="4"/>
        <v>353914.0708045</v>
      </c>
      <c r="P8" s="103">
        <v>499.6299</v>
      </c>
    </row>
    <row r="9" ht="16.5" spans="1:16">
      <c r="A9" s="95" t="s">
        <v>96</v>
      </c>
      <c r="B9" s="100">
        <v>29.4211127164</v>
      </c>
      <c r="C9" s="100">
        <v>23.81</v>
      </c>
      <c r="D9" s="100">
        <v>6.41</v>
      </c>
      <c r="E9" s="100">
        <v>89950.78731</v>
      </c>
      <c r="F9" s="101">
        <v>116.794901</v>
      </c>
      <c r="G9" s="101">
        <f t="shared" si="0"/>
        <v>89833.992409</v>
      </c>
      <c r="H9" s="102">
        <f t="shared" si="1"/>
        <v>109.921869981528</v>
      </c>
      <c r="I9" s="100">
        <v>69799.676066</v>
      </c>
      <c r="J9" s="100">
        <v>669.933654</v>
      </c>
      <c r="K9" s="101">
        <f t="shared" si="2"/>
        <v>69129.742412</v>
      </c>
      <c r="L9" s="102">
        <f t="shared" si="3"/>
        <v>111.022338803348</v>
      </c>
      <c r="M9" s="100">
        <v>154867.520114</v>
      </c>
      <c r="N9" s="100">
        <v>153537.224389</v>
      </c>
      <c r="O9" s="100">
        <f t="shared" si="4"/>
        <v>154202.3722515</v>
      </c>
      <c r="P9" s="103">
        <v>242.3916</v>
      </c>
    </row>
    <row r="10" ht="16.5" spans="1:16">
      <c r="A10" s="95" t="s">
        <v>98</v>
      </c>
      <c r="B10" s="100">
        <v>34.5482555165</v>
      </c>
      <c r="C10" s="100">
        <v>24.94</v>
      </c>
      <c r="D10" s="100">
        <v>0.96</v>
      </c>
      <c r="E10" s="100">
        <v>162597.305888</v>
      </c>
      <c r="F10" s="101">
        <v>0</v>
      </c>
      <c r="G10" s="101">
        <f t="shared" si="0"/>
        <v>162597.305888</v>
      </c>
      <c r="H10" s="102">
        <f t="shared" si="1"/>
        <v>169.429770749855</v>
      </c>
      <c r="I10" s="100">
        <v>64398.662775</v>
      </c>
      <c r="J10" s="100">
        <v>4391.271758</v>
      </c>
      <c r="K10" s="101">
        <f t="shared" si="2"/>
        <v>60007.391017</v>
      </c>
      <c r="L10" s="102">
        <f t="shared" si="3"/>
        <v>83.3052865890696</v>
      </c>
      <c r="M10" s="100">
        <v>89985.749578</v>
      </c>
      <c r="N10" s="100">
        <v>97148.809033</v>
      </c>
      <c r="O10" s="100">
        <f t="shared" si="4"/>
        <v>93567.2793055</v>
      </c>
      <c r="P10" s="103">
        <v>123.282</v>
      </c>
    </row>
    <row r="11" ht="16.5" spans="1:16">
      <c r="A11" s="95"/>
      <c r="B11" s="104"/>
      <c r="C11" s="100"/>
      <c r="D11" s="100"/>
      <c r="E11" s="100"/>
      <c r="F11" s="101"/>
      <c r="G11" s="101"/>
      <c r="H11" s="102"/>
      <c r="I11" s="100"/>
      <c r="K11" s="101"/>
      <c r="L11" s="102"/>
      <c r="M11" s="100"/>
      <c r="N11" s="100"/>
      <c r="O11" s="100"/>
      <c r="P11" s="105"/>
    </row>
    <row r="14" spans="1:16">
      <c r="H14" s="106"/>
      <c r="L14" s="106"/>
      <c r="P14" s="10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zoomScale="115" zoomScaleNormal="115" workbookViewId="0">
      <selection activeCell="I12" sqref="I12"/>
    </sheetView>
  </sheetViews>
  <sheetFormatPr defaultColWidth="8.72727272727273" defaultRowHeight="14"/>
  <cols>
    <col min="1" max="1" width="15.3636363636364" customWidth="1"/>
    <col min="2" max="3" width="6.63636363636364" customWidth="1"/>
    <col min="4" max="4" width="11" customWidth="1"/>
  </cols>
  <sheetData>
    <row r="1" ht="16.5" spans="1:14">
      <c r="A1" s="1"/>
      <c r="B1" s="2" t="s">
        <v>210</v>
      </c>
      <c r="C1" s="3"/>
      <c r="D1" s="4" t="s">
        <v>211</v>
      </c>
      <c r="E1" s="5"/>
      <c r="F1" s="5"/>
      <c r="G1" s="5"/>
      <c r="K1" s="6" t="s">
        <v>212</v>
      </c>
      <c r="L1" s="7"/>
      <c r="M1" s="7"/>
      <c r="N1" s="7"/>
    </row>
    <row r="2" ht="14.75" spans="1:14">
      <c r="A2" s="8" t="s">
        <v>0</v>
      </c>
      <c r="B2" s="9" t="s">
        <v>213</v>
      </c>
      <c r="C2" s="326" t="s">
        <v>214</v>
      </c>
      <c r="D2" s="327" t="s">
        <v>215</v>
      </c>
      <c r="E2" s="328" t="s">
        <v>216</v>
      </c>
      <c r="F2" s="12" t="s">
        <v>14</v>
      </c>
      <c r="G2" s="328" t="s">
        <v>216</v>
      </c>
      <c r="K2" s="13" t="s">
        <v>184</v>
      </c>
      <c r="L2" s="14" t="s">
        <v>217</v>
      </c>
      <c r="M2" s="14" t="s">
        <v>218</v>
      </c>
      <c r="N2" s="15" t="s">
        <v>219</v>
      </c>
    </row>
    <row r="3" spans="1:14">
      <c r="A3" s="16" t="s">
        <v>108</v>
      </c>
      <c r="B3" s="17">
        <f>373202.010400001/10</f>
        <v>37320.2010400001</v>
      </c>
      <c r="C3" s="17">
        <v>43221.541801</v>
      </c>
      <c r="D3" s="18">
        <f>SUM(D4:D8)</f>
        <v>57800</v>
      </c>
      <c r="E3" s="19"/>
      <c r="F3" s="20">
        <v>73500</v>
      </c>
      <c r="G3" s="19"/>
      <c r="K3" s="21" t="s">
        <v>108</v>
      </c>
      <c r="L3" s="22">
        <v>373202.0104</v>
      </c>
      <c r="M3" s="22">
        <v>432215.41802</v>
      </c>
      <c r="N3" s="22">
        <f t="shared" ref="N3:N10" si="0">SUM(L3,M3)</f>
        <v>805417.42842</v>
      </c>
    </row>
    <row r="4" spans="1:14">
      <c r="A4" s="23" t="s">
        <v>220</v>
      </c>
      <c r="B4" s="24">
        <v>25758.4438640001</v>
      </c>
      <c r="C4" s="24">
        <v>28413.642937</v>
      </c>
      <c r="D4" s="25">
        <v>35000</v>
      </c>
      <c r="E4" s="26">
        <v>0.231802626562301</v>
      </c>
      <c r="F4" s="27">
        <v>40000</v>
      </c>
      <c r="G4" s="28">
        <v>0.142857142857143</v>
      </c>
      <c r="K4" s="29" t="s">
        <v>221</v>
      </c>
      <c r="L4" s="30">
        <v>-215360.155792655</v>
      </c>
      <c r="M4" s="30">
        <v>-245144.964400122</v>
      </c>
      <c r="N4" s="30">
        <f t="shared" si="0"/>
        <v>-460505.120192777</v>
      </c>
    </row>
    <row r="5" spans="1:14">
      <c r="A5" s="31" t="s">
        <v>222</v>
      </c>
      <c r="B5" s="32">
        <v>2391.497455</v>
      </c>
      <c r="C5" s="32">
        <v>2236.592397</v>
      </c>
      <c r="D5" s="33">
        <v>3300</v>
      </c>
      <c r="E5" s="19">
        <v>0.475458829434623</v>
      </c>
      <c r="F5" s="34">
        <v>4500</v>
      </c>
      <c r="G5" s="35">
        <v>0.363636363636364</v>
      </c>
      <c r="K5" s="36" t="s">
        <v>186</v>
      </c>
      <c r="L5" s="37">
        <f>SUM(L3:L4)</f>
        <v>157841.854607345</v>
      </c>
      <c r="M5" s="37">
        <f>SUM(M3:M4)</f>
        <v>187070.453619878</v>
      </c>
      <c r="N5" s="37">
        <f t="shared" si="0"/>
        <v>344912.308227223</v>
      </c>
    </row>
    <row r="6" spans="1:14">
      <c r="A6" s="31" t="s">
        <v>223</v>
      </c>
      <c r="B6" s="32">
        <v>5135.509025</v>
      </c>
      <c r="C6" s="32">
        <v>7306.411406</v>
      </c>
      <c r="D6" s="33">
        <v>12000</v>
      </c>
      <c r="E6" s="19">
        <v>0.642393143937342</v>
      </c>
      <c r="F6" s="34">
        <v>20000</v>
      </c>
      <c r="G6" s="35">
        <v>0.666666666666667</v>
      </c>
      <c r="K6" s="29" t="s">
        <v>224</v>
      </c>
      <c r="L6" s="30">
        <v>-312.41087</v>
      </c>
      <c r="M6" s="30">
        <v>-2252.43899</v>
      </c>
      <c r="N6" s="30">
        <f t="shared" si="0"/>
        <v>-2564.84986</v>
      </c>
    </row>
    <row r="7" spans="1:14">
      <c r="A7" s="31" t="s">
        <v>225</v>
      </c>
      <c r="B7" s="32">
        <v>69.097346</v>
      </c>
      <c r="C7" s="32">
        <v>64.374337</v>
      </c>
      <c r="D7" s="33">
        <v>2500</v>
      </c>
      <c r="E7" s="19">
        <v>37.8353514227261</v>
      </c>
      <c r="F7" s="34">
        <v>3500</v>
      </c>
      <c r="G7" s="35">
        <v>0.4</v>
      </c>
      <c r="K7" s="29" t="s">
        <v>167</v>
      </c>
      <c r="L7" s="30">
        <v>-16024.35456</v>
      </c>
      <c r="M7" s="30">
        <v>-21009.40637</v>
      </c>
      <c r="N7" s="30">
        <f t="shared" si="0"/>
        <v>-37033.76093</v>
      </c>
    </row>
    <row r="8" spans="1:14">
      <c r="A8" s="38" t="s">
        <v>156</v>
      </c>
      <c r="B8" s="39">
        <v>3965.65335</v>
      </c>
      <c r="C8" s="39">
        <v>5200.52072400002</v>
      </c>
      <c r="D8" s="40">
        <v>5000</v>
      </c>
      <c r="E8" s="41">
        <v>-0.0385578165422226</v>
      </c>
      <c r="F8" s="42">
        <v>5500</v>
      </c>
      <c r="G8" s="43">
        <v>0.1</v>
      </c>
      <c r="K8" s="29" t="s">
        <v>174</v>
      </c>
      <c r="L8" s="30">
        <v>-17675.8328</v>
      </c>
      <c r="M8" s="30">
        <v>-21590.28609</v>
      </c>
      <c r="N8" s="30">
        <f t="shared" si="0"/>
        <v>-39266.11889</v>
      </c>
    </row>
    <row r="9" spans="1:14">
      <c r="A9" s="44" t="s">
        <v>226</v>
      </c>
      <c r="B9" s="45">
        <v>0.210904572016314</v>
      </c>
      <c r="C9" s="45">
        <v>0.15812725002941</v>
      </c>
      <c r="D9" s="46">
        <v>0.337296116508797</v>
      </c>
      <c r="E9" s="47"/>
      <c r="F9" s="47">
        <v>0.271626297577855</v>
      </c>
      <c r="G9" s="48"/>
      <c r="K9" s="29" t="s">
        <v>175</v>
      </c>
      <c r="L9" s="30">
        <v>-43803.07241</v>
      </c>
      <c r="M9" s="30">
        <v>-56192.90681</v>
      </c>
      <c r="N9" s="30">
        <f t="shared" si="0"/>
        <v>-99995.97922</v>
      </c>
    </row>
    <row r="10" spans="1:14">
      <c r="A10" s="16" t="s">
        <v>221</v>
      </c>
      <c r="B10" s="49">
        <v>-21536.0155792655</v>
      </c>
      <c r="C10" s="49">
        <v>-24514.4964169138</v>
      </c>
      <c r="D10" s="50">
        <v>-33524</v>
      </c>
      <c r="E10" s="20"/>
      <c r="F10" s="51">
        <v>-43365</v>
      </c>
      <c r="G10" s="19">
        <v>0.293550888915404</v>
      </c>
      <c r="K10" s="29" t="s">
        <v>227</v>
      </c>
      <c r="L10" s="30">
        <v>-4443.64739</v>
      </c>
      <c r="M10" s="30">
        <v>-1610.26911</v>
      </c>
      <c r="N10" s="30">
        <f t="shared" si="0"/>
        <v>-6053.9165</v>
      </c>
    </row>
    <row r="11" spans="1:14">
      <c r="A11" s="52" t="s">
        <v>220</v>
      </c>
      <c r="B11" s="53">
        <v>-1526.30811712655</v>
      </c>
      <c r="C11" s="53">
        <v>-16363.5601648474</v>
      </c>
      <c r="D11" s="54">
        <v>-20300</v>
      </c>
      <c r="E11" s="26"/>
      <c r="F11" s="55">
        <v>-23600</v>
      </c>
      <c r="G11" s="28"/>
      <c r="K11" s="29" t="s">
        <v>228</v>
      </c>
      <c r="L11" s="30">
        <v>-3117.43783950001</v>
      </c>
      <c r="M11" s="30">
        <v>-6154.34575749998</v>
      </c>
      <c r="N11" s="30">
        <v>-9271.78359699998</v>
      </c>
    </row>
    <row r="12" spans="1:14">
      <c r="A12" s="56" t="s">
        <v>222</v>
      </c>
      <c r="B12" s="57">
        <v>-1317.813572</v>
      </c>
      <c r="C12" s="57">
        <v>-1174.03515648673</v>
      </c>
      <c r="D12" s="33">
        <v>-1914</v>
      </c>
      <c r="E12" s="19"/>
      <c r="F12" s="58">
        <v>-2655</v>
      </c>
      <c r="G12" s="35"/>
      <c r="K12" s="29" t="s">
        <v>229</v>
      </c>
      <c r="L12" s="30">
        <v>16881.21549</v>
      </c>
      <c r="M12" s="30">
        <v>12927.42047</v>
      </c>
      <c r="N12" s="30">
        <f t="shared" ref="N12:N18" si="1">SUM(L12,M12)</f>
        <v>29808.63596</v>
      </c>
    </row>
    <row r="13" spans="1:14">
      <c r="A13" s="56" t="s">
        <v>223</v>
      </c>
      <c r="B13" s="57">
        <v>-2843.490987</v>
      </c>
      <c r="C13" s="57">
        <v>-4388.939266</v>
      </c>
      <c r="D13" s="33">
        <v>-6960</v>
      </c>
      <c r="E13" s="19"/>
      <c r="F13" s="58">
        <v>-11800</v>
      </c>
      <c r="G13" s="35"/>
      <c r="K13" s="36" t="s">
        <v>230</v>
      </c>
      <c r="L13" s="37">
        <f>SUM(L5:L12)</f>
        <v>89346.314227845</v>
      </c>
      <c r="M13" s="37">
        <f>SUM(M5:M12)</f>
        <v>91188.220962378</v>
      </c>
      <c r="N13" s="37">
        <f t="shared" si="1"/>
        <v>180534.535190223</v>
      </c>
    </row>
    <row r="14" spans="1:14">
      <c r="A14" s="59" t="s">
        <v>225</v>
      </c>
      <c r="B14" s="57">
        <v>-29.947828</v>
      </c>
      <c r="C14" s="57">
        <v>-26.993885</v>
      </c>
      <c r="D14" s="33">
        <v>-1450</v>
      </c>
      <c r="E14" s="19"/>
      <c r="F14" s="58">
        <v>-2065</v>
      </c>
      <c r="G14" s="35"/>
      <c r="K14" s="29" t="s">
        <v>231</v>
      </c>
      <c r="L14" s="30">
        <v>38.8939300000001</v>
      </c>
      <c r="M14" s="30">
        <v>204.71825</v>
      </c>
      <c r="N14" s="30">
        <f t="shared" si="1"/>
        <v>243.61218</v>
      </c>
    </row>
    <row r="15" spans="1:14">
      <c r="A15" s="60" t="s">
        <v>156</v>
      </c>
      <c r="B15" s="61">
        <v>-2081.682021</v>
      </c>
      <c r="C15" s="61">
        <v>-2560.96794457965</v>
      </c>
      <c r="D15" s="62">
        <v>-2900</v>
      </c>
      <c r="E15" s="41"/>
      <c r="F15" s="63">
        <v>-3245</v>
      </c>
      <c r="G15" s="43"/>
      <c r="K15" s="29" t="s">
        <v>232</v>
      </c>
      <c r="L15" s="30">
        <v>-10.16379</v>
      </c>
      <c r="M15" s="30">
        <v>-67.16343</v>
      </c>
      <c r="N15" s="30">
        <f t="shared" si="1"/>
        <v>-77.32722</v>
      </c>
    </row>
    <row r="16" spans="1:14">
      <c r="A16" s="64" t="s">
        <v>187</v>
      </c>
      <c r="B16" s="65">
        <v>0.422939454260093</v>
      </c>
      <c r="C16" s="65">
        <v>0.432817632240353</v>
      </c>
      <c r="D16" s="66">
        <f>(D10+D3)/D3</f>
        <v>0.42</v>
      </c>
      <c r="E16" s="67"/>
      <c r="F16" s="68">
        <v>0.41</v>
      </c>
      <c r="G16" s="68"/>
      <c r="K16" s="36" t="s">
        <v>233</v>
      </c>
      <c r="L16" s="37">
        <f>SUM(L13:L15)</f>
        <v>89375.044367845</v>
      </c>
      <c r="M16" s="37">
        <f>SUM(M13:M15)</f>
        <v>91325.775782378</v>
      </c>
      <c r="N16" s="37">
        <f t="shared" si="1"/>
        <v>180700.820150223</v>
      </c>
    </row>
    <row r="17" spans="1:14">
      <c r="A17" s="69" t="s">
        <v>234</v>
      </c>
      <c r="B17" s="70">
        <v>-8078.350761</v>
      </c>
      <c r="C17" s="70">
        <v>-10832.90241275</v>
      </c>
      <c r="D17" s="71">
        <v>-14276.6</v>
      </c>
      <c r="E17" s="71"/>
      <c r="F17" s="51">
        <v>-18228</v>
      </c>
      <c r="G17" s="51"/>
      <c r="K17" s="29" t="s">
        <v>235</v>
      </c>
      <c r="L17" s="30">
        <v>-10259.75664</v>
      </c>
      <c r="M17" s="30">
        <v>-4682.98939</v>
      </c>
      <c r="N17" s="30">
        <f t="shared" si="1"/>
        <v>-14942.74603</v>
      </c>
    </row>
    <row r="18" ht="14.75" spans="1:14">
      <c r="A18" s="72" t="s">
        <v>167</v>
      </c>
      <c r="B18" s="53">
        <v>-1602.435456</v>
      </c>
      <c r="C18" s="53">
        <v>-2100.940637</v>
      </c>
      <c r="D18" s="73">
        <v>-3179</v>
      </c>
      <c r="E18" s="73"/>
      <c r="F18" s="74">
        <v>-4042.5</v>
      </c>
      <c r="G18" s="58"/>
      <c r="K18" s="75" t="s">
        <v>236</v>
      </c>
      <c r="L18" s="76">
        <f>SUM(L16:L17)</f>
        <v>79115.287727845</v>
      </c>
      <c r="M18" s="76">
        <f>SUM(M16:M17)</f>
        <v>86642.786392378</v>
      </c>
      <c r="N18" s="76">
        <f t="shared" si="1"/>
        <v>165758.074120223</v>
      </c>
    </row>
    <row r="19" spans="1:14">
      <c r="A19" s="77" t="s">
        <v>174</v>
      </c>
      <c r="B19" s="78">
        <v>-1767.58328</v>
      </c>
      <c r="C19" s="78">
        <v>-2159.028609</v>
      </c>
      <c r="D19" s="79">
        <v>-3468</v>
      </c>
      <c r="E19" s="79"/>
      <c r="F19" s="80">
        <v>-4410</v>
      </c>
      <c r="G19" s="58"/>
      <c r="K19" s="81" t="s">
        <v>237</v>
      </c>
      <c r="L19" s="82"/>
      <c r="M19" s="82"/>
      <c r="N19" s="82"/>
    </row>
    <row r="20" spans="1:14">
      <c r="A20" s="77" t="s">
        <v>175</v>
      </c>
      <c r="B20" s="78">
        <v>-4380.307241</v>
      </c>
      <c r="C20" s="78">
        <v>-5619.290681</v>
      </c>
      <c r="D20" s="79">
        <v>-6473.6</v>
      </c>
      <c r="E20" s="79"/>
      <c r="F20" s="80">
        <v>-8305.5</v>
      </c>
      <c r="G20" s="58"/>
      <c r="K20" s="83" t="s">
        <v>187</v>
      </c>
      <c r="L20" s="84">
        <f>IFERROR(L5/(L$4),0)</f>
        <v>-0.732920414300371</v>
      </c>
      <c r="M20" s="84">
        <f>IFERROR(M5/(M$4),0)</f>
        <v>-0.763101351388741</v>
      </c>
      <c r="N20" s="84">
        <f>IFERROR(N5/(N$4),0)</f>
        <v>-0.748986912638095</v>
      </c>
    </row>
    <row r="21" spans="1:14">
      <c r="A21" s="85" t="s">
        <v>228</v>
      </c>
      <c r="B21" s="61">
        <v>-328.024784000001</v>
      </c>
      <c r="C21" s="61">
        <v>-953.642485749998</v>
      </c>
      <c r="D21" s="86">
        <v>-1156</v>
      </c>
      <c r="E21" s="86"/>
      <c r="F21" s="87">
        <v>-1470</v>
      </c>
      <c r="G21" s="58"/>
      <c r="K21" s="83" t="s">
        <v>238</v>
      </c>
      <c r="L21" s="84">
        <f t="shared" ref="L21:L23" si="2">IFERROR(L7/(L$4),0)*(-1)</f>
        <v>-0.074407238892546</v>
      </c>
      <c r="M21" s="84">
        <f t="shared" ref="M21:M23" si="3">IFERROR(M7/(M$4),0)*(-1)</f>
        <v>-0.0857019699401565</v>
      </c>
      <c r="N21" s="84">
        <f t="shared" ref="N21:N23" si="4">IFERROR(N7/(N$4),0)*(-1)</f>
        <v>-0.0804198678931016</v>
      </c>
    </row>
    <row r="22" spans="1:14">
      <c r="A22" s="16" t="s">
        <v>239</v>
      </c>
      <c r="B22" s="88">
        <v>7911.52877278448</v>
      </c>
      <c r="C22" s="88">
        <v>8326.07072923782</v>
      </c>
      <c r="D22" s="89">
        <v>10218.2</v>
      </c>
      <c r="E22" s="89"/>
      <c r="F22" s="51">
        <v>12163</v>
      </c>
      <c r="G22" s="51"/>
      <c r="K22" s="83" t="s">
        <v>240</v>
      </c>
      <c r="L22" s="84">
        <f t="shared" si="2"/>
        <v>-0.0820756872827395</v>
      </c>
      <c r="M22" s="84">
        <f t="shared" si="3"/>
        <v>-0.0880715055389049</v>
      </c>
      <c r="N22" s="84">
        <f t="shared" si="4"/>
        <v>-0.0852674968598881</v>
      </c>
    </row>
    <row r="23" spans="1:14">
      <c r="A23" s="90" t="s">
        <v>199</v>
      </c>
      <c r="B23" s="91">
        <v>0.21199051860157</v>
      </c>
      <c r="C23" s="91">
        <v>0.192637059722964</v>
      </c>
      <c r="D23" s="92">
        <v>0.176785467128028</v>
      </c>
      <c r="E23" s="92"/>
      <c r="F23" s="92">
        <f>F22/F3</f>
        <v>0.165482993197279</v>
      </c>
      <c r="G23" s="92"/>
      <c r="K23" s="83" t="s">
        <v>241</v>
      </c>
      <c r="L23" s="84">
        <f t="shared" si="2"/>
        <v>-0.203394505584277</v>
      </c>
      <c r="M23" s="84">
        <f t="shared" si="3"/>
        <v>-0.229223173918771</v>
      </c>
      <c r="N23" s="84">
        <f t="shared" si="4"/>
        <v>-0.217144120304546</v>
      </c>
    </row>
    <row r="24" spans="1:14">
      <c r="A24" s="1" t="s">
        <v>238</v>
      </c>
      <c r="B24" s="93">
        <v>0.0429374818823322</v>
      </c>
      <c r="C24" s="93">
        <v>0.0486086462781249</v>
      </c>
      <c r="D24" s="48">
        <v>0.055</v>
      </c>
      <c r="E24" s="48"/>
      <c r="F24" s="48">
        <v>0.055</v>
      </c>
      <c r="G24" s="48"/>
      <c r="K24" s="83" t="s">
        <v>199</v>
      </c>
      <c r="L24" s="84">
        <f>IFERROR(L18/(L$4),0)</f>
        <v>-0.367362697322786</v>
      </c>
      <c r="M24" s="84">
        <f>IFERROR(M18/(M$4),0)</f>
        <v>-0.353434901689275</v>
      </c>
      <c r="N24" s="84">
        <f>IFERROR(N18/(N$4),0)</f>
        <v>-0.359948384614775</v>
      </c>
    </row>
    <row r="25" spans="1:14">
      <c r="A25" s="1" t="s">
        <v>240</v>
      </c>
      <c r="B25" s="93">
        <v>0.0473626408953556</v>
      </c>
      <c r="C25" s="93">
        <v>0.0499526050907801</v>
      </c>
      <c r="D25" s="48">
        <v>0.06</v>
      </c>
      <c r="E25" s="48"/>
      <c r="F25" s="48">
        <v>0.06</v>
      </c>
      <c r="G25" s="48"/>
    </row>
    <row r="26" spans="1:14">
      <c r="A26" s="1" t="s">
        <v>241</v>
      </c>
      <c r="B26" s="93">
        <v>0.117370944392962</v>
      </c>
      <c r="C26" s="93">
        <v>0.130011342651131</v>
      </c>
      <c r="D26" s="48">
        <v>0.112</v>
      </c>
      <c r="E26" s="48"/>
      <c r="F26" s="48">
        <v>0.113</v>
      </c>
      <c r="G26" s="48"/>
    </row>
  </sheetData>
  <mergeCells count="2">
    <mergeCell ref="B1:C1"/>
    <mergeCell ref="D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结果对比</vt:lpstr>
      <vt:lpstr>DCF</vt:lpstr>
      <vt:lpstr>市场法</vt:lpstr>
      <vt:lpstr>二级可比 相对估值</vt:lpstr>
      <vt:lpstr>二级可比公司三费费率估算 </vt:lpstr>
      <vt:lpstr>可比公司毛利</vt:lpstr>
      <vt:lpstr>可比公司营运情况</vt:lpstr>
      <vt:lpstr>锐洁利润表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zhoux</dc:creator>
  <cp:lastModifiedBy>13120860718</cp:lastModifiedBy>
  <dcterms:created xsi:type="dcterms:W3CDTF">2026-03-16T01:59:00Z</dcterms:created>
  <dcterms:modified xsi:type="dcterms:W3CDTF">2026-03-19T03:00:38Z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CEB621080E344002A4494CBAC6AB385C_13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